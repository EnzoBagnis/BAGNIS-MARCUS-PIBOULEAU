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" sheetId="1" state="visible" r:id="rId3"/>
    <sheet name="CC" sheetId="2" state="visible" r:id="rId4"/>
    <sheet name="Halstea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<sst xmlns="http://schemas.openxmlformats.org/spreadsheetml/2006/main" count="133" uniqueCount="106">
  <si>
    <t xml:space="preserve">Mesure LOC (Lines Of Code) - projet BAGNIS-MARCUS-PIBOULEAU</t>
  </si>
  <si>
    <t xml:space="preserve">Périmètre</t>
  </si>
  <si>
    <t xml:space="preserve">Fichiers</t>
  </si>
  <si>
    <t xml:space="preserve">LOC (lignes non vides)</t>
  </si>
  <si>
    <t xml:space="preserve">LOC moyen / fichier</t>
  </si>
  <si>
    <t xml:space="preserve">Dépôt complet (script scriptligne.sh)</t>
  </si>
  <si>
    <t xml:space="preserve">Application ./app (php, js, jsx, css, ps1)</t>
  </si>
  <si>
    <t xml:space="preserve">Écart (Maquette, lockfile, etc.)</t>
  </si>
  <si>
    <t xml:space="preserve">Méthode et hypothèses</t>
  </si>
  <si>
    <t xml:space="preserve">LOC = lignes non vides (commentaires inclus), mesurées avec le script bash scriptligne.sh.</t>
  </si>
  <si>
    <t xml:space="preserve">Dépôt complet : exclut seulement .git, node_modules, .venv, __pycache__ (fichiers binaires ignorés).</t>
  </si>
  <si>
    <t xml:space="preserve">Application : find ./app sur *.php, *.js, *.jsx, *.css, *.ps1, hors node_modules et vendor.</t>
  </si>
  <si>
    <t xml:space="preserve">Le dépôt complet inclut pnpm-lock.yaml (1077 lignes, fichier généré) et la Maquette (prototype).</t>
  </si>
  <si>
    <t xml:space="preserve">Les valeurs en bleu sont des résultats saisis depuis le terminal ; les valeurs en noir sont des formules.</t>
  </si>
  <si>
    <t xml:space="preserve">Le périmètre ./app exclut .html, .sql, .json, .md, .yml.</t>
  </si>
  <si>
    <t xml:space="preserve">Complexité cyclomatique (CC) - iqsort0</t>
  </si>
  <si>
    <t xml:space="preserve">Nœuds</t>
  </si>
  <si>
    <t xml:space="preserve">Arêtes</t>
  </si>
  <si>
    <t xml:space="preserve">Calcul de V(G) = E - N + 2P</t>
  </si>
  <si>
    <t xml:space="preserve">Nœud</t>
  </si>
  <si>
    <t xml:space="preserve">Instruction</t>
  </si>
  <si>
    <t xml:space="preserve">Lignes</t>
  </si>
  <si>
    <t xml:space="preserve">De</t>
  </si>
  <si>
    <t xml:space="preserve">Vers</t>
  </si>
  <si>
    <t xml:space="preserve">E (arêtes)</t>
  </si>
  <si>
    <t xml:space="preserve">N1</t>
  </si>
  <si>
    <t xml:space="preserve">if (n &lt;= 1)</t>
  </si>
  <si>
    <t xml:space="preserve">3-4</t>
  </si>
  <si>
    <t xml:space="preserve">N2</t>
  </si>
  <si>
    <t xml:space="preserve">N (nœuds)</t>
  </si>
  <si>
    <t xml:space="preserve">return</t>
  </si>
  <si>
    <t xml:space="preserve">5</t>
  </si>
  <si>
    <t xml:space="preserve">N3</t>
  </si>
  <si>
    <t xml:space="preserve">P (composantes connexes)</t>
  </si>
  <si>
    <t xml:space="preserve">i = 1, j = 0</t>
  </si>
  <si>
    <t xml:space="preserve">6</t>
  </si>
  <si>
    <t xml:space="preserve">N9</t>
  </si>
  <si>
    <t xml:space="preserve">V(G) = E - N + 2P</t>
  </si>
  <si>
    <t xml:space="preserve">N4</t>
  </si>
  <si>
    <t xml:space="preserve">i &lt; n ?</t>
  </si>
  <si>
    <t xml:space="preserve">Contrôle : décisions + 1 (3 décisions : lignes 4, 6, 7)</t>
  </si>
  <si>
    <t xml:space="preserve">N5</t>
  </si>
  <si>
    <t xml:space="preserve">a[i] &lt; a[0] ?</t>
  </si>
  <si>
    <t xml:space="preserve">7</t>
  </si>
  <si>
    <t xml:space="preserve">N6</t>
  </si>
  <si>
    <t xml:space="preserve">swap(++j, i, a)</t>
  </si>
  <si>
    <t xml:space="preserve">8</t>
  </si>
  <si>
    <t xml:space="preserve">N8</t>
  </si>
  <si>
    <t xml:space="preserve">Contrôle : écart avec V(G)</t>
  </si>
  <si>
    <t xml:space="preserve">N7</t>
  </si>
  <si>
    <t xml:space="preserve">i++</t>
  </si>
  <si>
    <t xml:space="preserve">swap + 2 appels iqsort0</t>
  </si>
  <si>
    <t xml:space="preserve">9-11</t>
  </si>
  <si>
    <t xml:space="preserve">Hypothèses</t>
  </si>
  <si>
    <t xml:space="preserve">Sortie</t>
  </si>
  <si>
    <t xml:space="preserve">12</t>
  </si>
  <si>
    <t xml:space="preserve">P = 1 : une seule fonction, donc un seul graphe connexe.</t>
  </si>
  <si>
    <t xml:space="preserve">Les 2 appels récursifs sont comptés dans le bloc N8 (pas de nœud de décision).</t>
  </si>
  <si>
    <t xml:space="preserve">Lignes : numérotation du code du sujet (void iqsort0 = ligne 1).</t>
  </si>
  <si>
    <t xml:space="preserve">Valeurs en bleu : saisies ; valeurs en noir : formules.</t>
  </si>
  <si>
    <t xml:space="preserve">Métriques de Halstead - iqsort0</t>
  </si>
  <si>
    <t xml:space="preserve">Opérateurs</t>
  </si>
  <si>
    <t xml:space="preserve">Opérandes</t>
  </si>
  <si>
    <t xml:space="preserve">Mesures</t>
  </si>
  <si>
    <t xml:space="preserve">Opérateur</t>
  </si>
  <si>
    <t xml:space="preserve">Occurrences</t>
  </si>
  <si>
    <t xml:space="preserve">Opérande</t>
  </si>
  <si>
    <t xml:space="preserve">nt (opérateurs distincts)</t>
  </si>
  <si>
    <t xml:space="preserve">void</t>
  </si>
  <si>
    <t xml:space="preserve">iqsort0</t>
  </si>
  <si>
    <t xml:space="preserve">Nt (occurrences d'opérateurs)</t>
  </si>
  <si>
    <t xml:space="preserve">( )</t>
  </si>
  <si>
    <t xml:space="preserve">swap</t>
  </si>
  <si>
    <t xml:space="preserve">nd (opérandes distincts)</t>
  </si>
  <si>
    <t xml:space="preserve">int</t>
  </si>
  <si>
    <t xml:space="preserve">a</t>
  </si>
  <si>
    <t xml:space="preserve">Nd (occurrences d'opérandes)</t>
  </si>
  <si>
    <t xml:space="preserve">*</t>
  </si>
  <si>
    <t xml:space="preserve">n</t>
  </si>
  <si>
    <t xml:space="preserve">Longueur N = Nt + Nd</t>
  </si>
  <si>
    <t xml:space="preserve">,</t>
  </si>
  <si>
    <t xml:space="preserve">i</t>
  </si>
  <si>
    <t xml:space="preserve">Vocabulaire n = nt + nd</t>
  </si>
  <si>
    <t xml:space="preserve">{ }</t>
  </si>
  <si>
    <t xml:space="preserve">j</t>
  </si>
  <si>
    <t xml:space="preserve">Volume = N * log2(n)</t>
  </si>
  <si>
    <t xml:space="preserve">;</t>
  </si>
  <si>
    <t xml:space="preserve">0</t>
  </si>
  <si>
    <t xml:space="preserve">Difficulté = (nt/2) * (Nd/nd)</t>
  </si>
  <si>
    <t xml:space="preserve">if</t>
  </si>
  <si>
    <t xml:space="preserve">1</t>
  </si>
  <si>
    <t xml:space="preserve">Effort = Difficulté * Volume</t>
  </si>
  <si>
    <t xml:space="preserve">&lt;=</t>
  </si>
  <si>
    <t xml:space="preserve">Conventions de comptage</t>
  </si>
  <si>
    <t xml:space="preserve">for</t>
  </si>
  <si>
    <t xml:space="preserve">Opérateurs : mots-clés (void, int, if, for, return), symboles (*, =, &lt;, &lt;=, +, -, ++), séparateurs (, ;).</t>
  </si>
  <si>
    <t xml:space="preserve">=</t>
  </si>
  <si>
    <t xml:space="preserve">Les paires ( ), { } et [ ] comptent pour un seul opérateur chacune.</t>
  </si>
  <si>
    <t xml:space="preserve">&lt;</t>
  </si>
  <si>
    <t xml:space="preserve">Opérandes : variables, constantes et noms de fonctions appelées (iqsort0, swap), comme dans le cours.</t>
  </si>
  <si>
    <t xml:space="preserve">++</t>
  </si>
  <si>
    <t xml:space="preserve">++ (préfixe ligne 8, suffixe ligne 6) est un seul opérateur ; * (déclaration du pointeur) aussi.</t>
  </si>
  <si>
    <t xml:space="preserve">[ ]</t>
  </si>
  <si>
    <t xml:space="preserve">Le choix des conventions (parenthèses, ;) influence les résultats : cf. faiblesses de Halstead.</t>
  </si>
  <si>
    <t xml:space="preserve">+</t>
  </si>
  <si>
    <t xml:space="preserve">-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</si>
</sst>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.00"/>
    <numFmt numFmtId="168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4" min="2" style="1" width="24"/>
  </cols>
  <sheetData>
    <row r="1" customFormat="false" ht="15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true" outlineLevel="0" collapsed="false">
      <c r="A4" s="4" t="s">
        <v>5</v>
      </c>
      <c r="B4" s="5" t="n">
        <v>301</v>
      </c>
      <c r="C4" s="6" t="n">
        <v>23053</v>
      </c>
      <c r="D4" s="7" t="n">
        <f aca="false">C4/B4</f>
        <v>76.5880398671096</v>
      </c>
    </row>
    <row r="5" customFormat="false" ht="15" hidden="false" customHeight="true" outlineLevel="0" collapsed="false">
      <c r="A5" s="4" t="s">
        <v>6</v>
      </c>
      <c r="B5" s="4"/>
      <c r="C5" s="6" t="n">
        <v>13696</v>
      </c>
      <c r="D5" s="4"/>
    </row>
    <row r="6" customFormat="false" ht="15" hidden="false" customHeight="true" outlineLevel="0" collapsed="false">
      <c r="A6" s="4" t="s">
        <v>7</v>
      </c>
      <c r="B6" s="4"/>
      <c r="C6" s="8" t="n">
        <f aca="false">C4-C5</f>
        <v>9357</v>
      </c>
      <c r="D6" s="4"/>
    </row>
    <row r="8" customFormat="false" ht="15" hidden="false" customHeight="true" outlineLevel="0" collapsed="false">
      <c r="A8" s="9" t="s">
        <v>8</v>
      </c>
    </row>
    <row r="9" customFormat="false" ht="15" hidden="false" customHeight="true" outlineLevel="0" collapsed="false">
      <c r="A9" s="4" t="s">
        <v>9</v>
      </c>
    </row>
    <row r="10" customFormat="false" ht="15" hidden="false" customHeight="true" outlineLevel="0" collapsed="false">
      <c r="A10" s="4" t="s">
        <v>10</v>
      </c>
    </row>
    <row r="11" customFormat="false" ht="15" hidden="false" customHeight="true" outlineLevel="0" collapsed="false">
      <c r="A11" s="4" t="s">
        <v>11</v>
      </c>
    </row>
    <row r="12" customFormat="false" ht="15" hidden="false" customHeight="true" outlineLevel="0" collapsed="false">
      <c r="A12" s="4" t="s">
        <v>12</v>
      </c>
    </row>
    <row r="13" customFormat="false" ht="15" hidden="false" customHeight="true" outlineLevel="0" collapsed="false">
      <c r="A13" s="4" t="s">
        <v>13</v>
      </c>
    </row>
    <row r="14" customFormat="false" ht="15" hidden="false" customHeight="true" outlineLevel="0" collapsed="false">
      <c r="A14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9"/>
    <col collapsed="false" customWidth="true" hidden="false" outlineLevel="0" max="4" min="4" style="1" width="3"/>
    <col collapsed="false" customWidth="true" hidden="false" outlineLevel="0" max="6" min="5" style="1" width="8"/>
    <col collapsed="false" customWidth="true" hidden="false" outlineLevel="0" max="7" min="7" style="1" width="3"/>
    <col collapsed="false" customWidth="true" hidden="false" outlineLevel="0" max="8" min="8" style="1" width="52"/>
    <col collapsed="false" customWidth="true" hidden="false" outlineLevel="0" max="9" min="9" style="1" width="10"/>
  </cols>
  <sheetData>
    <row r="1" customFormat="false" ht="15.75" hidden="false" customHeight="true" outlineLevel="0" collapsed="false">
      <c r="A1" s="2" t="s">
        <v>15</v>
      </c>
    </row>
    <row r="3" customFormat="false" ht="15" hidden="false" customHeight="true" outlineLevel="0" collapsed="false">
      <c r="A3" s="9" t="s">
        <v>16</v>
      </c>
      <c r="E3" s="9" t="s">
        <v>17</v>
      </c>
      <c r="H3" s="9" t="s">
        <v>18</v>
      </c>
    </row>
    <row r="4" customFormat="false" ht="15" hidden="false" customHeight="true" outlineLevel="0" collapsed="false">
      <c r="A4" s="3" t="s">
        <v>19</v>
      </c>
      <c r="B4" s="3" t="s">
        <v>20</v>
      </c>
      <c r="C4" s="3" t="s">
        <v>21</v>
      </c>
      <c r="E4" s="3" t="s">
        <v>22</v>
      </c>
      <c r="F4" s="3" t="s">
        <v>23</v>
      </c>
      <c r="H4" s="4" t="s">
        <v>24</v>
      </c>
      <c r="I4" s="4" t="n">
        <f aca="false">COUNTA(E5:E15)</f>
        <v>11</v>
      </c>
    </row>
    <row r="5" customFormat="false" ht="15" hidden="false" customHeight="true" outlineLevel="0" collapsed="false">
      <c r="A5" s="5" t="s">
        <v>25</v>
      </c>
      <c r="B5" s="5" t="s">
        <v>26</v>
      </c>
      <c r="C5" s="5" t="s">
        <v>27</v>
      </c>
      <c r="E5" s="5" t="s">
        <v>25</v>
      </c>
      <c r="F5" s="5" t="s">
        <v>28</v>
      </c>
      <c r="H5" s="4" t="s">
        <v>29</v>
      </c>
      <c r="I5" s="4" t="n">
        <f aca="false">COUNTA(A5:A13)</f>
        <v>9</v>
      </c>
    </row>
    <row r="6" customFormat="false" ht="15" hidden="false" customHeight="true" outlineLevel="0" collapsed="false">
      <c r="A6" s="5" t="s">
        <v>28</v>
      </c>
      <c r="B6" s="5" t="s">
        <v>30</v>
      </c>
      <c r="C6" s="5" t="s">
        <v>31</v>
      </c>
      <c r="E6" s="5" t="s">
        <v>25</v>
      </c>
      <c r="F6" s="5" t="s">
        <v>32</v>
      </c>
      <c r="H6" s="4" t="s">
        <v>33</v>
      </c>
      <c r="I6" s="5" t="n">
        <v>1</v>
      </c>
    </row>
    <row r="7" customFormat="false" ht="15" hidden="false" customHeight="true" outlineLevel="0" collapsed="false">
      <c r="A7" s="5" t="s">
        <v>32</v>
      </c>
      <c r="B7" s="5" t="s">
        <v>34</v>
      </c>
      <c r="C7" s="5" t="s">
        <v>35</v>
      </c>
      <c r="E7" s="5" t="s">
        <v>28</v>
      </c>
      <c r="F7" s="5" t="s">
        <v>36</v>
      </c>
      <c r="H7" s="9" t="s">
        <v>37</v>
      </c>
      <c r="I7" s="9" t="n">
        <f aca="false">I4-I5+2*I6</f>
        <v>4</v>
      </c>
    </row>
    <row r="8" customFormat="false" ht="15" hidden="false" customHeight="true" outlineLevel="0" collapsed="false">
      <c r="A8" s="5" t="s">
        <v>38</v>
      </c>
      <c r="B8" s="5" t="s">
        <v>39</v>
      </c>
      <c r="C8" s="5" t="s">
        <v>35</v>
      </c>
      <c r="E8" s="5" t="s">
        <v>32</v>
      </c>
      <c r="F8" s="5" t="s">
        <v>38</v>
      </c>
      <c r="H8" s="4" t="s">
        <v>40</v>
      </c>
      <c r="I8" s="5" t="n">
        <v>4</v>
      </c>
    </row>
    <row r="9" customFormat="false" ht="15" hidden="false" customHeight="true" outlineLevel="0" collapsed="false">
      <c r="A9" s="5" t="s">
        <v>41</v>
      </c>
      <c r="B9" s="5" t="s">
        <v>42</v>
      </c>
      <c r="C9" s="5" t="s">
        <v>43</v>
      </c>
      <c r="E9" s="5" t="s">
        <v>38</v>
      </c>
      <c r="F9" s="5" t="s">
        <v>41</v>
      </c>
    </row>
    <row r="10" customFormat="false" ht="15" hidden="false" customHeight="true" outlineLevel="0" collapsed="false">
      <c r="A10" s="5" t="s">
        <v>44</v>
      </c>
      <c r="B10" s="5" t="s">
        <v>45</v>
      </c>
      <c r="C10" s="5" t="s">
        <v>46</v>
      </c>
      <c r="E10" s="5" t="s">
        <v>38</v>
      </c>
      <c r="F10" s="5" t="s">
        <v>47</v>
      </c>
      <c r="H10" s="4" t="s">
        <v>48</v>
      </c>
      <c r="I10" s="4" t="n">
        <f aca="false">I7-I8</f>
        <v>0</v>
      </c>
    </row>
    <row r="11" customFormat="false" ht="15" hidden="false" customHeight="true" outlineLevel="0" collapsed="false">
      <c r="A11" s="5" t="s">
        <v>49</v>
      </c>
      <c r="B11" s="5" t="s">
        <v>50</v>
      </c>
      <c r="C11" s="5" t="s">
        <v>35</v>
      </c>
      <c r="E11" s="5" t="s">
        <v>41</v>
      </c>
      <c r="F11" s="5" t="s">
        <v>44</v>
      </c>
    </row>
    <row r="12" customFormat="false" ht="15" hidden="false" customHeight="true" outlineLevel="0" collapsed="false">
      <c r="A12" s="5" t="s">
        <v>47</v>
      </c>
      <c r="B12" s="5" t="s">
        <v>51</v>
      </c>
      <c r="C12" s="5" t="s">
        <v>52</v>
      </c>
      <c r="E12" s="5" t="s">
        <v>41</v>
      </c>
      <c r="F12" s="5" t="s">
        <v>49</v>
      </c>
      <c r="H12" s="9" t="s">
        <v>53</v>
      </c>
    </row>
    <row r="13" customFormat="false" ht="15" hidden="false" customHeight="true" outlineLevel="0" collapsed="false">
      <c r="A13" s="5" t="s">
        <v>36</v>
      </c>
      <c r="B13" s="5" t="s">
        <v>54</v>
      </c>
      <c r="C13" s="5" t="s">
        <v>55</v>
      </c>
      <c r="E13" s="5" t="s">
        <v>44</v>
      </c>
      <c r="F13" s="5" t="s">
        <v>49</v>
      </c>
      <c r="H13" s="4" t="s">
        <v>56</v>
      </c>
    </row>
    <row r="14" customFormat="false" ht="15" hidden="false" customHeight="true" outlineLevel="0" collapsed="false">
      <c r="E14" s="5" t="s">
        <v>49</v>
      </c>
      <c r="F14" s="5" t="s">
        <v>38</v>
      </c>
      <c r="H14" s="4" t="s">
        <v>57</v>
      </c>
    </row>
    <row r="15" customFormat="false" ht="15" hidden="false" customHeight="true" outlineLevel="0" collapsed="false">
      <c r="E15" s="5" t="s">
        <v>47</v>
      </c>
      <c r="F15" s="5" t="s">
        <v>36</v>
      </c>
      <c r="H15" s="4" t="s">
        <v>58</v>
      </c>
    </row>
    <row r="16" customFormat="false" ht="15" hidden="false" customHeight="true" outlineLevel="0" collapsed="false">
      <c r="H16" s="4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3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16.15" hidden="false" customHeight="false" outlineLevel="0" collapsed="false">
      <c r="A1" s="10" t="s">
        <v>60</v>
      </c>
    </row>
    <row r="3" customFormat="false" ht="15" hidden="false" customHeight="false" outlineLevel="0" collapsed="false">
      <c r="A3" s="11" t="s">
        <v>61</v>
      </c>
      <c r="D3" s="11" t="s">
        <v>62</v>
      </c>
      <c r="G3" s="11" t="s">
        <v>63</v>
      </c>
    </row>
    <row r="4" customFormat="false" ht="15" hidden="false" customHeight="false" outlineLevel="0" collapsed="false">
      <c r="A4" s="12" t="s">
        <v>64</v>
      </c>
      <c r="B4" s="12" t="s">
        <v>65</v>
      </c>
      <c r="D4" s="12" t="s">
        <v>66</v>
      </c>
      <c r="E4" s="12" t="s">
        <v>65</v>
      </c>
      <c r="G4" s="13" t="s">
        <v>67</v>
      </c>
      <c r="H4" s="13" t="n">
        <f aca="false">COUNTA(A5:A21)</f>
        <v>17</v>
      </c>
    </row>
    <row r="5" customFormat="false" ht="15" hidden="false" customHeight="false" outlineLevel="0" collapsed="false">
      <c r="A5" s="14" t="s">
        <v>68</v>
      </c>
      <c r="B5" s="14" t="n">
        <v>1</v>
      </c>
      <c r="D5" s="14" t="s">
        <v>69</v>
      </c>
      <c r="E5" s="14" t="n">
        <v>3</v>
      </c>
      <c r="G5" s="13" t="s">
        <v>70</v>
      </c>
      <c r="H5" s="13" t="n">
        <f aca="false">SUM(B5:B21)</f>
        <v>48</v>
      </c>
    </row>
    <row r="6" customFormat="false" ht="15" hidden="false" customHeight="false" outlineLevel="0" collapsed="false">
      <c r="A6" s="14" t="s">
        <v>71</v>
      </c>
      <c r="B6" s="14" t="n">
        <v>8</v>
      </c>
      <c r="D6" s="14" t="s">
        <v>72</v>
      </c>
      <c r="E6" s="14" t="n">
        <v>2</v>
      </c>
      <c r="G6" s="13" t="s">
        <v>73</v>
      </c>
      <c r="H6" s="13" t="n">
        <f aca="false">COUNTA(D5:D12)</f>
        <v>8</v>
      </c>
    </row>
    <row r="7" customFormat="false" ht="15" hidden="false" customHeight="false" outlineLevel="0" collapsed="false">
      <c r="A7" s="14" t="s">
        <v>74</v>
      </c>
      <c r="B7" s="14" t="n">
        <v>3</v>
      </c>
      <c r="D7" s="14" t="s">
        <v>75</v>
      </c>
      <c r="E7" s="14" t="n">
        <v>7</v>
      </c>
      <c r="G7" s="13" t="s">
        <v>76</v>
      </c>
      <c r="H7" s="13" t="n">
        <f aca="false">SUM(E5:E12)</f>
        <v>36</v>
      </c>
    </row>
    <row r="8" customFormat="false" ht="15" hidden="false" customHeight="false" outlineLevel="0" collapsed="false">
      <c r="A8" s="14" t="s">
        <v>77</v>
      </c>
      <c r="B8" s="14" t="n">
        <v>1</v>
      </c>
      <c r="D8" s="14" t="s">
        <v>78</v>
      </c>
      <c r="E8" s="14" t="n">
        <v>4</v>
      </c>
      <c r="G8" s="13" t="s">
        <v>79</v>
      </c>
      <c r="H8" s="13" t="n">
        <f aca="false">H5+H7</f>
        <v>84</v>
      </c>
    </row>
    <row r="9" customFormat="false" ht="15" hidden="false" customHeight="false" outlineLevel="0" collapsed="false">
      <c r="A9" s="14" t="s">
        <v>80</v>
      </c>
      <c r="B9" s="14" t="n">
        <v>9</v>
      </c>
      <c r="D9" s="14" t="s">
        <v>81</v>
      </c>
      <c r="E9" s="14" t="n">
        <v>6</v>
      </c>
      <c r="G9" s="13" t="s">
        <v>82</v>
      </c>
      <c r="H9" s="13" t="n">
        <f aca="false">H4+H6</f>
        <v>25</v>
      </c>
    </row>
    <row r="10" customFormat="false" ht="15" hidden="false" customHeight="false" outlineLevel="0" collapsed="false">
      <c r="A10" s="14" t="s">
        <v>83</v>
      </c>
      <c r="B10" s="14" t="n">
        <v>1</v>
      </c>
      <c r="D10" s="14" t="s">
        <v>84</v>
      </c>
      <c r="E10" s="14" t="n">
        <v>7</v>
      </c>
      <c r="G10" s="13" t="s">
        <v>85</v>
      </c>
      <c r="H10" s="15" t="n">
        <f aca="false">H8*LOG(H9,2)</f>
        <v>390.083919941077</v>
      </c>
    </row>
    <row r="11" customFormat="false" ht="15" hidden="false" customHeight="false" outlineLevel="0" collapsed="false">
      <c r="A11" s="14" t="s">
        <v>86</v>
      </c>
      <c r="B11" s="14" t="n">
        <v>8</v>
      </c>
      <c r="D11" s="14" t="s">
        <v>87</v>
      </c>
      <c r="E11" s="14" t="n">
        <v>3</v>
      </c>
      <c r="G11" s="13" t="s">
        <v>88</v>
      </c>
      <c r="H11" s="15" t="n">
        <f aca="false">(H4/2)*(H7/H6)</f>
        <v>38.25</v>
      </c>
    </row>
    <row r="12" customFormat="false" ht="15" hidden="false" customHeight="false" outlineLevel="0" collapsed="false">
      <c r="A12" s="14" t="s">
        <v>89</v>
      </c>
      <c r="B12" s="14" t="n">
        <v>2</v>
      </c>
      <c r="D12" s="14" t="s">
        <v>90</v>
      </c>
      <c r="E12" s="14" t="n">
        <v>4</v>
      </c>
      <c r="G12" s="13" t="s">
        <v>91</v>
      </c>
      <c r="H12" s="16" t="n">
        <f aca="false">H11*H10</f>
        <v>14920.7099377462</v>
      </c>
    </row>
    <row r="13" customFormat="false" ht="15" hidden="false" customHeight="false" outlineLevel="0" collapsed="false">
      <c r="A13" s="14" t="s">
        <v>92</v>
      </c>
      <c r="B13" s="14" t="n">
        <v>1</v>
      </c>
    </row>
    <row r="14" customFormat="false" ht="15" hidden="false" customHeight="false" outlineLevel="0" collapsed="false">
      <c r="A14" s="14" t="s">
        <v>30</v>
      </c>
      <c r="B14" s="14" t="n">
        <v>1</v>
      </c>
      <c r="G14" s="11" t="s">
        <v>93</v>
      </c>
    </row>
    <row r="15" customFormat="false" ht="15" hidden="false" customHeight="false" outlineLevel="0" collapsed="false">
      <c r="A15" s="14" t="s">
        <v>94</v>
      </c>
      <c r="B15" s="14" t="n">
        <v>1</v>
      </c>
      <c r="G15" s="13" t="s">
        <v>95</v>
      </c>
    </row>
    <row r="16" customFormat="false" ht="15" hidden="false" customHeight="false" outlineLevel="0" collapsed="false">
      <c r="A16" s="14" t="s">
        <v>96</v>
      </c>
      <c r="B16" s="14" t="n">
        <v>2</v>
      </c>
      <c r="G16" s="13" t="s">
        <v>97</v>
      </c>
    </row>
    <row r="17" customFormat="false" ht="15" hidden="false" customHeight="false" outlineLevel="0" collapsed="false">
      <c r="A17" s="14" t="s">
        <v>98</v>
      </c>
      <c r="B17" s="14" t="n">
        <v>2</v>
      </c>
      <c r="G17" s="13" t="s">
        <v>99</v>
      </c>
    </row>
    <row r="18" customFormat="false" ht="15" hidden="false" customHeight="false" outlineLevel="0" collapsed="false">
      <c r="A18" s="14" t="s">
        <v>100</v>
      </c>
      <c r="B18" s="14" t="n">
        <v>2</v>
      </c>
      <c r="G18" s="13" t="s">
        <v>101</v>
      </c>
    </row>
    <row r="19" customFormat="false" ht="15" hidden="false" customHeight="false" outlineLevel="0" collapsed="false">
      <c r="A19" s="14" t="s">
        <v>102</v>
      </c>
      <c r="B19" s="14" t="n">
        <v>2</v>
      </c>
      <c r="G19" s="13" t="s">
        <v>103</v>
      </c>
    </row>
    <row r="20" customFormat="false" ht="15" hidden="false" customHeight="false" outlineLevel="0" collapsed="false">
      <c r="A20" s="14" t="s">
        <v>104</v>
      </c>
      <c r="B20" s="14" t="n">
        <v>2</v>
      </c>
      <c r="G20" s="13" t="s">
        <v>59</v>
      </c>
    </row>
    <row r="21" customFormat="false" ht="15" hidden="false" customHeight="false" outlineLevel="0" collapsed="false">
      <c r="A21" s="14" t="s">
        <v>105</v>
      </c>
      <c r="B21" s="14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2026-10-01T08:45:44Z</dcterms:created>
  <dc:creator>openpyxl</dc:creator>
  <dc:description/>
  <dc:language>en-US</dc:language>
  <cp:lastModifiedBy/>
  <dcterms:modified xsi:type="dcterms:W3CDTF">2026-10-08T06:29:56Z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