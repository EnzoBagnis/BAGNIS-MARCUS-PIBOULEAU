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Romain PERO\Downloads\"/>
    </mc:Choice>
  </mc:AlternateContent>
  <xr:revisionPtr revIDLastSave="0" documentId="13_ncr:1_{94FCE1B4-8528-4B77-BE2A-E82BD32AB3B9}" xr6:coauthVersionLast="36" xr6:coauthVersionMax="36" xr10:uidLastSave="{00000000-0000-0000-0000-000000000000}"/>
  <bookViews>
    <workbookView xWindow="0" yWindow="0" windowWidth="20490" windowHeight="7545" tabRatio="500" activeTab="3" xr2:uid="{00000000-000D-0000-FFFF-FFFF00000000}"/>
  </bookViews>
  <sheets>
    <sheet name="LOC" sheetId="1" r:id="rId1"/>
    <sheet name="CC" sheetId="2" r:id="rId2"/>
    <sheet name="Halstead" sheetId="3" r:id="rId3"/>
    <sheet name="Albrecht" sheetId="4" r:id="rId4"/>
  </sheets>
  <calcPr calcId="191029"/>
</workbook>
</file>

<file path=xl/calcChain.xml><?xml version="1.0" encoding="utf-8"?>
<calcChain xmlns="http://schemas.openxmlformats.org/spreadsheetml/2006/main">
  <c r="H9" i="3" l="1"/>
  <c r="H8" i="3"/>
  <c r="H10" i="3" s="1"/>
  <c r="H11" i="3" s="1"/>
  <c r="H15" i="3" s="1"/>
  <c r="H7" i="3"/>
  <c r="H6" i="3"/>
  <c r="H5" i="3"/>
  <c r="H12" i="3" s="1"/>
  <c r="H13" i="3" l="1"/>
  <c r="H14" i="3" s="1"/>
  <c r="C6" i="1"/>
  <c r="D4" i="1"/>
</calcChain>
</file>

<file path=xl/sharedStrings.xml><?xml version="1.0" encoding="utf-8"?>
<sst xmlns="http://schemas.openxmlformats.org/spreadsheetml/2006/main" count="205" uniqueCount="155">
  <si>
    <t>Mesure LOC (Lines Of Code) - projet BAGNIS-MARCUS-PIBOULEAU</t>
  </si>
  <si>
    <t>Périmètre</t>
  </si>
  <si>
    <t>Fichiers</t>
  </si>
  <si>
    <t>LOC (lignes non vides)</t>
  </si>
  <si>
    <t>LOC moyen / fichier</t>
  </si>
  <si>
    <t>Dépôt complet (script scriptligne.sh)</t>
  </si>
  <si>
    <t>Application ./app (php, js, jsx, css, ps1)</t>
  </si>
  <si>
    <t>Écart (Maquette, lockfile, etc.)</t>
  </si>
  <si>
    <t>Méthode et hypothèses</t>
  </si>
  <si>
    <t>LOC = lignes non vides (commentaires inclus), mesurées avec le script bash scriptligne.sh.</t>
  </si>
  <si>
    <t>Dépôt complet : exclut seulement .git, node_modules, .venv, __pycache__ (fichiers binaires ignorés).</t>
  </si>
  <si>
    <t>Application : find ./app sur *.php, *.js, *.jsx, *.css, *.ps1, hors node_modules et vendor.</t>
  </si>
  <si>
    <t>Les valeurs en bleu sont des résultats saisis depuis le terminal ; les valeurs en noir sont des formules.</t>
  </si>
  <si>
    <t>Le périmètre ./app exclut .html, .sql, .json, .md, .yml.</t>
  </si>
  <si>
    <t>Complexité cyclomatique (CC) - iqsort0 (Graphe 10 nœuds)</t>
  </si>
  <si>
    <t>Nœuds</t>
  </si>
  <si>
    <t>Arêtes</t>
  </si>
  <si>
    <t>Calcul de V(G)</t>
  </si>
  <si>
    <t>Nœud</t>
  </si>
  <si>
    <t>Instruction / Rôle</t>
  </si>
  <si>
    <t>Ligne</t>
  </si>
  <si>
    <t>De</t>
  </si>
  <si>
    <t>Vers</t>
  </si>
  <si>
    <t>Type</t>
  </si>
  <si>
    <t>Élément</t>
  </si>
  <si>
    <t>Valeur</t>
  </si>
  <si>
    <t>N1</t>
  </si>
  <si>
    <t>int i, j (déclarations)</t>
  </si>
  <si>
    <t>N2</t>
  </si>
  <si>
    <t>Séquence</t>
  </si>
  <si>
    <t>E (arêtes)</t>
  </si>
  <si>
    <t>if (n &lt;= 1)</t>
  </si>
  <si>
    <t>N3</t>
  </si>
  <si>
    <t>Vrai (n &lt;= 1)</t>
  </si>
  <si>
    <t>N (nœuds)</t>
  </si>
  <si>
    <t>return</t>
  </si>
  <si>
    <t>N4</t>
  </si>
  <si>
    <t>P (composantes)</t>
  </si>
  <si>
    <t>i = 1, j = 0</t>
  </si>
  <si>
    <t>N10</t>
  </si>
  <si>
    <t>Return</t>
  </si>
  <si>
    <t>V(G) = E - N + 2P</t>
  </si>
  <si>
    <t>N5</t>
  </si>
  <si>
    <t>i &lt; n ?</t>
  </si>
  <si>
    <t>Entrée boucle</t>
  </si>
  <si>
    <t>Contrôle : π + 1 (3 décisions)</t>
  </si>
  <si>
    <t>N6</t>
  </si>
  <si>
    <t>if (a[i] &lt; a[0])</t>
  </si>
  <si>
    <t>Vrai (i &lt; n)</t>
  </si>
  <si>
    <t>Écart contrôle</t>
  </si>
  <si>
    <t>N7</t>
  </si>
  <si>
    <t>swap(++j, i, a)</t>
  </si>
  <si>
    <t>N9</t>
  </si>
  <si>
    <t>Faux (sortie boucle)</t>
  </si>
  <si>
    <t>N8</t>
  </si>
  <si>
    <t>i++</t>
  </si>
  <si>
    <t>Vrai (a[i] &lt; a[0])</t>
  </si>
  <si>
    <t>Hypothèses &amp; remarques</t>
  </si>
  <si>
    <t>swap + 2 appels iqsort0</t>
  </si>
  <si>
    <t>• P = 1 : fonction unique iqsort0 (graphe connexe).</t>
  </si>
  <si>
    <t>Sortie</t>
  </si>
  <si>
    <t>• N1 isole les déclarations (int i, j) avant le premier if.</t>
  </si>
  <si>
    <t>Boucle (i++)</t>
  </si>
  <si>
    <t>• 3 points de décision : if (ligne 4), for (ligne 6), if (ligne 7).</t>
  </si>
  <si>
    <t>Fin de fonction</t>
  </si>
  <si>
    <t>• Bleu : valeurs saisies / Noir : formules automatiques.</t>
  </si>
  <si>
    <t>Métriques de Halstead - iqsort0</t>
  </si>
  <si>
    <t>Opérateurs</t>
  </si>
  <si>
    <t>Opérandes</t>
  </si>
  <si>
    <t>Mesures de Halstead</t>
  </si>
  <si>
    <t>Opérateur (η1)</t>
  </si>
  <si>
    <t>Occurrences (N1)</t>
  </si>
  <si>
    <t>Opérande (η2)</t>
  </si>
  <si>
    <t>Occurrences (N2)</t>
  </si>
  <si>
    <t>Grandeur</t>
  </si>
  <si>
    <t>Formule / Valeur</t>
  </si>
  <si>
    <t>void</t>
  </si>
  <si>
    <t>iqsort0</t>
  </si>
  <si>
    <t>η1 (opérateurs distincts)</t>
  </si>
  <si>
    <t>( )</t>
  </si>
  <si>
    <t>swap</t>
  </si>
  <si>
    <t>N1 (occurrences opérateurs)</t>
  </si>
  <si>
    <t>int</t>
  </si>
  <si>
    <t>a</t>
  </si>
  <si>
    <t>η2 (opérandes distincts)</t>
  </si>
  <si>
    <t>*</t>
  </si>
  <si>
    <t>n</t>
  </si>
  <si>
    <t>N2 (occurrences opérandes)</t>
  </si>
  <si>
    <t>,</t>
  </si>
  <si>
    <t>i</t>
  </si>
  <si>
    <t>Vocabulaire : η = η1 + η2</t>
  </si>
  <si>
    <t>{ }</t>
  </si>
  <si>
    <t>j</t>
  </si>
  <si>
    <t>Longueur : N = N1 + N2</t>
  </si>
  <si>
    <t>;</t>
  </si>
  <si>
    <t>0</t>
  </si>
  <si>
    <t>Volume : V = N * log2(η)</t>
  </si>
  <si>
    <t>if</t>
  </si>
  <si>
    <t>1</t>
  </si>
  <si>
    <t>Difficulté : D = (η1/2) * (N2/η2)</t>
  </si>
  <si>
    <t>&lt;=</t>
  </si>
  <si>
    <t>Effort : E = D * V</t>
  </si>
  <si>
    <t>Temps estimé : T = E / 18 (s)</t>
  </si>
  <si>
    <t>for</t>
  </si>
  <si>
    <t>Bugs estimés : B = V / 3000</t>
  </si>
  <si>
    <t>=</t>
  </si>
  <si>
    <t>&lt;</t>
  </si>
  <si>
    <t>Conventions de comptage retenues</t>
  </si>
  <si>
    <t>++</t>
  </si>
  <si>
    <t>• Opérateurs : mots-clés (void, int, if, for, return), symboles (*, =, &lt;, &lt;=, +, -, ++), délimiteurs (, ;).</t>
  </si>
  <si>
    <t>[ ]</t>
  </si>
  <si>
    <t>• Paires : ( ), { } et [ ] sont comptées chacune comme 1 seul opérateur.</t>
  </si>
  <si>
    <t>+</t>
  </si>
  <si>
    <t>• Opérandes : variables (a, n, i, j), constantes (0, 1) et fonctions appelées (iqsort0, swap).</t>
  </si>
  <si>
    <t>-</t>
  </si>
  <si>
    <t>• ++ (préfixe l.8, suffixe l.6) est regroupé sous le même opérateur (++).</t>
  </si>
  <si>
    <t>• Pointeur * : compté comme opérateur de déréférencement / typage à la déclaration.</t>
  </si>
  <si>
    <t>En théorie de la mesure, une mesure est valide si elle caractérise précisément un attribut empirique réel : elle doit établir un morphisme préservant les relations observées (si un algorithme A est intuitivement plus complexe à comprendre qu'un algorithme B, alors sa mesure doit être strictement supérieure). De plus, la mesure doit être formelle et reproductible.</t>
  </si>
  <si>
    <t>Or, les métriques de Halstead souffrent d'une ambiguïté majeure sur leurs compteurs de base (η1, N1, η2, N2). Selon que l'on compte les parenthèses, accolades ou points-virgules comme des opérateurs, ou que les fonctions appelées soient classées en opérateurs ou opérandes, les valeurs obtenues de V, D et E varient considérablement pour un même code. L'absence de consensus opérationnel met donc en doute leur validité théorique.</t>
  </si>
  <si>
    <t>Question 7</t>
  </si>
  <si>
    <t>Points de fonction (Albrecht) - Score UFC</t>
  </si>
  <si>
    <t>Exemple du cours (CM p. 32)</t>
  </si>
  <si>
    <t>Application au QuickSort (Q9)</t>
  </si>
  <si>
    <t>Catégorie</t>
  </si>
  <si>
    <t>Calcul (poids × nb)</t>
  </si>
  <si>
    <t>Sous-total</t>
  </si>
  <si>
    <t>Poids (S/M/D)</t>
  </si>
  <si>
    <t>Scores (S/M/D)</t>
  </si>
  <si>
    <t>Calcul</t>
  </si>
  <si>
    <t>Entrées externes</t>
  </si>
  <si>
    <t>3×4 + 4×3 + 6×1</t>
  </si>
  <si>
    <t/>
  </si>
  <si>
    <t>1 / 2 / 4</t>
  </si>
  <si>
    <t>1 / 1 / 0</t>
  </si>
  <si>
    <t>1×1 + 2×1 + 4×0</t>
  </si>
  <si>
    <t>Sorties externes</t>
  </si>
  <si>
    <t>4×0 + 5×2 + 7×1</t>
  </si>
  <si>
    <t>2 / 3 / 5</t>
  </si>
  <si>
    <t>0 / 1 / 0</t>
  </si>
  <si>
    <t>2×0 + 3×1 + 5×0</t>
  </si>
  <si>
    <t>Requêtes externes</t>
  </si>
  <si>
    <t>3×7 + 4×0 + 6×0</t>
  </si>
  <si>
    <t>0 / 0 / 0</t>
  </si>
  <si>
    <t>1×0 + 2×0 + 4×0</t>
  </si>
  <si>
    <t>Fichiers internes</t>
  </si>
  <si>
    <t>7×3 + 10×0 + 15×0</t>
  </si>
  <si>
    <t>3 / 5 / 8</t>
  </si>
  <si>
    <t>3×0 + 5×0 + 8×0</t>
  </si>
  <si>
    <t>Fichiers externes</t>
  </si>
  <si>
    <t>5×0 + 7×5 + 10×2</t>
  </si>
  <si>
    <t>Total UFC</t>
  </si>
  <si>
    <t>Question 8 - Établissement des poids et importances relatives</t>
  </si>
  <si>
    <t>Pour établir des poids, on part de l'intuition que tous les éléments d'un système ne demandent pas la même charge de travail. Dans un site marchand par exemple, un écran d'alerte « saisie incorrecte » se développe en quelques minutes, alors qu'un formulaire de saisie complet demande des champs, des contrôles de validation et un enregistrement en base. On les classe donc par niveaux (simple, moyen, difficile) en comparant leur complexité fonctionnelle.</t>
  </si>
  <si>
    <t>Pour chiffrer ces niveaux, on prend un élément simple comme référence de base (par exemple un poids de 3), puis on en déduit les autres par proportionnalité : un cas moyen vaut un peu plus (ex. 4 ou 5), et un cas difficile à peu près le double (ex. 6 à 8). On peut aussi s'appuyer sur le temps réellement passé lors de projets antérieurs (retour d'expérience), ou confronter l'avis de plusieurs développeurs de l'équipe pour lisser les estimations.</t>
  </si>
  <si>
    <t>Les poids gardent cependant une part de subjectivité : ils dépendent de l'expérience de l'équipe et des technologies utilisées (un framework moderne peut rendre très rapide la création d'un écran autrefois complexe). Il faut donc réajuster ce barème au fil des projets.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</si>
</sst>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charset val="1"/>
    </font>
    <font>
      <sz val="11"/>
      <color theme="1"/>
      <name val="Calibri"/>
      <family val="2"/>
      <scheme val="minor"/>
    </font>
    <font>
      <sz val="11"/>
      <color theme="1"/>
      <name val="Calibri"/>
      <family val="2"/>
      <scheme val="minor"/>
    </font>
    <font>
      <b/>
      <sz val="13"/>
      <name val="Arial"/>
      <charset val="1"/>
    </font>
    <font>
      <b/>
      <sz val="11"/>
      <name val="Arial"/>
      <charset val="1"/>
    </font>
    <font>
      <sz val="11"/>
      <name val="Arial"/>
      <charset val="1"/>
    </font>
    <font>
      <sz val="11"/>
      <color rgb="FF0000FF"/>
      <name val="Arial"/>
      <charset val="1"/>
    </font>
    <font>
      <sz val="11"/>
      <color theme="1"/>
      <name val="Calibri"/>
      <scheme val="minor"/>
    </font>
    <font>
      <b/>
      <sz val="13"/>
      <color rgb="FF1F3864"/>
      <name val="Calibri"/>
      <family val="2"/>
    </font>
    <font>
      <b/>
      <sz val="10"/>
      <name val="Calibri"/>
      <family val="2"/>
    </font>
    <font>
      <sz val="10"/>
      <color rgb="FF002060"/>
      <name val="Calibri"/>
      <family val="2"/>
    </font>
    <font>
      <i/>
      <sz val="9"/>
      <color rgb="FF595959"/>
      <name val="Calibri"/>
      <family val="2"/>
    </font>
    <font>
      <b/>
      <sz val="11"/>
      <color theme="1"/>
      <name val="Calibri"/>
      <family val="2"/>
    </font>
    <font>
      <b/>
      <sz val="11"/>
      <color rgb="FF1F3864"/>
      <name val="Calibri"/>
    </font>
    <font>
      <sz val="10"/>
      <color rgb="FF333333"/>
      <name val="Calibri"/>
    </font>
    <font>
      <sz val="10"/>
      <name val="Calibri"/>
      <family val="2"/>
    </font>
    <font>
      <sz val="11"/>
      <name val="Calibri"/>
      <family val="2"/>
    </font>
    <font>
      <sz val="13"/>
      <name val="Calibri"/>
      <family val="2"/>
    </font>
  </fonts>
  <fills count="3">
    <fill>
      <patternFill patternType="none"/>
    </fill>
    <fill>
      <patternFill patternType="gray125"/>
    </fill>
    <fill>
      <patternFill patternType="solid">
        <fgColor rgb="FFD9E1F2"/>
        <bgColor rgb="FFCC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7" fillId="0" borderId="0"/>
    <xf numFmtId="0" fontId="2" fillId="0" borderId="0"/>
    <xf numFmtId="0" fontId="1" fillId="0" borderId="0"/>
    <xf numFmtId="0" fontId="1" fillId="0" borderId="0"/>
  </cellStyleXfs>
  <cellXfs count="30">
    <xf numFmtId="0" fontId="0" fillId="0" borderId="0" xfId="0"/>
    <xf numFmtId="0" fontId="3" fillId="0" borderId="0" xfId="0" applyFont="1"/>
    <xf numFmtId="0" fontId="4" fillId="2" borderId="0" xfId="0" applyFont="1" applyFill="1"/>
    <xf numFmtId="0" fontId="5" fillId="0" borderId="0" xfId="0" applyFont="1"/>
    <xf numFmtId="0" fontId="6" fillId="0" borderId="0" xfId="0" applyFont="1"/>
    <xf numFmtId="3" fontId="6" fillId="0" borderId="0" xfId="0" applyNumberFormat="1" applyFont="1"/>
    <xf numFmtId="164" fontId="5" fillId="0" borderId="0" xfId="0" applyNumberFormat="1" applyFont="1"/>
    <xf numFmtId="3" fontId="5" fillId="0" borderId="0" xfId="0" applyNumberFormat="1" applyFont="1"/>
    <xf numFmtId="0" fontId="4" fillId="0" borderId="0" xfId="0" applyFont="1"/>
    <xf numFmtId="16" fontId="0" fillId="0" borderId="0" xfId="0" applyNumberFormat="1"/>
    <xf numFmtId="0" fontId="0" fillId="0" borderId="2" xfId="0" applyBorder="1"/>
    <xf numFmtId="0" fontId="2" fillId="0" borderId="0" xfId="2" applyAlignment="1"/>
    <xf numFmtId="0" fontId="8" fillId="0" borderId="0" xfId="2" applyFont="1"/>
    <xf numFmtId="0" fontId="9" fillId="0" borderId="0" xfId="2" applyFont="1"/>
    <xf numFmtId="0" fontId="10" fillId="0" borderId="1" xfId="2" applyFont="1" applyBorder="1" applyAlignment="1">
      <alignment horizontal="center"/>
    </xf>
    <xf numFmtId="0" fontId="10" fillId="0" borderId="1" xfId="2" applyFont="1" applyBorder="1"/>
    <xf numFmtId="0" fontId="11" fillId="0" borderId="0" xfId="2" applyFont="1"/>
    <xf numFmtId="0" fontId="12" fillId="0" borderId="0" xfId="0" applyFont="1"/>
    <xf numFmtId="0" fontId="14" fillId="0" borderId="0" xfId="1" applyFont="1"/>
    <xf numFmtId="0" fontId="7" fillId="0" borderId="0" xfId="1" applyAlignment="1"/>
    <xf numFmtId="0" fontId="14" fillId="0" borderId="0" xfId="1" applyFont="1"/>
    <xf numFmtId="0" fontId="7" fillId="0" borderId="0" xfId="1"/>
    <xf numFmtId="0" fontId="13" fillId="0" borderId="0" xfId="1" applyFont="1"/>
    <xf numFmtId="0" fontId="16" fillId="0" borderId="0" xfId="0" applyFont="1" applyFill="1"/>
    <xf numFmtId="0" fontId="15" fillId="0" borderId="1" xfId="0" applyFont="1" applyFill="1" applyBorder="1"/>
    <xf numFmtId="0" fontId="15" fillId="0" borderId="1" xfId="0" applyFont="1" applyFill="1" applyBorder="1" applyAlignment="1">
      <alignment horizontal="center"/>
    </xf>
    <xf numFmtId="0" fontId="16" fillId="0" borderId="1" xfId="0" applyFont="1" applyFill="1" applyBorder="1"/>
    <xf numFmtId="0" fontId="15" fillId="0" borderId="0" xfId="0" applyFont="1" applyFill="1"/>
    <xf numFmtId="0" fontId="17" fillId="0" borderId="0" xfId="0" applyFont="1" applyFill="1"/>
    <xf numFmtId="0" fontId="15" fillId="0" borderId="0" xfId="0" applyFont="1" applyFill="1" applyAlignment="1">
      <alignment horizontal="center" vertical="center"/>
    </xf>
  </cellXfs>
  <cellStyles count="5">
    <cellStyle name="Normal" xfId="0" builtinId="0"/>
    <cellStyle name="Normal 2" xfId="1" xr:uid="{00000000-0005-0000-0000-00002F000000}"/>
    <cellStyle name="Normal 2 2" xfId="3" xr:uid="{00000000-0005-0000-0000-000001000000}"/>
    <cellStyle name="Normal 3" xfId="2" xr:uid="{00000000-0005-0000-0000-000030000000}"/>
    <cellStyle name="Normal 3 2" xfId="4" xr:uid="{00000000-0005-0000-0000-000002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zoomScaleNormal="100" workbookViewId="0">
      <selection activeCell="A15" sqref="A1:D15"/>
    </sheetView>
  </sheetViews>
  <sheetFormatPr baseColWidth="10" defaultColWidth="8.7109375" defaultRowHeight="15" x14ac:dyDescent="0.25"/>
  <cols>
    <col min="1" max="1" width="48" customWidth="1"/>
    <col min="2" max="4" width="24" customWidth="1"/>
  </cols>
  <sheetData>
    <row r="1" spans="1:4" ht="16.5" x14ac:dyDescent="0.25">
      <c r="A1" s="1" t="s">
        <v>0</v>
      </c>
    </row>
    <row r="3" spans="1:4" x14ac:dyDescent="0.25">
      <c r="A3" s="2" t="s">
        <v>1</v>
      </c>
      <c r="B3" s="2" t="s">
        <v>2</v>
      </c>
      <c r="C3" s="2" t="s">
        <v>3</v>
      </c>
      <c r="D3" s="2" t="s">
        <v>4</v>
      </c>
    </row>
    <row r="4" spans="1:4" x14ac:dyDescent="0.25">
      <c r="A4" s="3" t="s">
        <v>5</v>
      </c>
      <c r="B4" s="4">
        <v>301</v>
      </c>
      <c r="C4" s="5">
        <v>23053</v>
      </c>
      <c r="D4" s="6">
        <f>C4/B4</f>
        <v>76.588039867109629</v>
      </c>
    </row>
    <row r="5" spans="1:4" x14ac:dyDescent="0.25">
      <c r="A5" s="3" t="s">
        <v>6</v>
      </c>
      <c r="B5" s="3"/>
      <c r="C5" s="5">
        <v>13696</v>
      </c>
      <c r="D5" s="3"/>
    </row>
    <row r="6" spans="1:4" x14ac:dyDescent="0.25">
      <c r="A6" s="3" t="s">
        <v>7</v>
      </c>
      <c r="B6" s="3"/>
      <c r="C6" s="7">
        <f>C4-C5</f>
        <v>9357</v>
      </c>
      <c r="D6" s="3"/>
    </row>
    <row r="8" spans="1:4" x14ac:dyDescent="0.25">
      <c r="A8" s="8" t="s">
        <v>8</v>
      </c>
    </row>
    <row r="9" spans="1:4" x14ac:dyDescent="0.25">
      <c r="A9" s="3" t="s">
        <v>9</v>
      </c>
    </row>
    <row r="10" spans="1:4" x14ac:dyDescent="0.25">
      <c r="A10" s="3" t="s">
        <v>10</v>
      </c>
    </row>
    <row r="11" spans="1:4" x14ac:dyDescent="0.25">
      <c r="A11" s="3" t="s">
        <v>11</v>
      </c>
    </row>
    <row r="12" spans="1:4" x14ac:dyDescent="0.25">
      <c r="A12" s="3" t="s">
        <v>12</v>
      </c>
    </row>
    <row r="13" spans="1:4" x14ac:dyDescent="0.25">
      <c r="A13" s="3" t="s">
        <v>13</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4DFB3-518D-44ED-B77D-6EB1D5532C61}">
  <dimension ref="A1:L34"/>
  <sheetViews>
    <sheetView workbookViewId="0"/>
  </sheetViews>
  <sheetFormatPr baseColWidth="10" defaultRowHeight="15" x14ac:dyDescent="0.25"/>
  <sheetData>
    <row r="1" spans="1:10" x14ac:dyDescent="0.25">
      <c r="A1" s="17" t="s">
        <v>14</v>
      </c>
    </row>
    <row r="3" spans="1:10" x14ac:dyDescent="0.25">
      <c r="A3" s="17" t="s">
        <v>15</v>
      </c>
      <c r="E3" s="17" t="s">
        <v>16</v>
      </c>
      <c r="I3" s="17" t="s">
        <v>17</v>
      </c>
    </row>
    <row r="4" spans="1:10" x14ac:dyDescent="0.25">
      <c r="A4" s="10" t="s">
        <v>18</v>
      </c>
      <c r="B4" s="10" t="s">
        <v>19</v>
      </c>
      <c r="C4" s="10" t="s">
        <v>20</v>
      </c>
      <c r="E4" s="10" t="s">
        <v>21</v>
      </c>
      <c r="F4" s="10" t="s">
        <v>22</v>
      </c>
      <c r="G4" s="10" t="s">
        <v>23</v>
      </c>
      <c r="I4" s="10" t="s">
        <v>24</v>
      </c>
      <c r="J4" s="10" t="s">
        <v>25</v>
      </c>
    </row>
    <row r="5" spans="1:10" x14ac:dyDescent="0.25">
      <c r="A5" t="s">
        <v>26</v>
      </c>
      <c r="B5" t="s">
        <v>27</v>
      </c>
      <c r="C5" s="9">
        <v>46083</v>
      </c>
      <c r="E5" t="s">
        <v>26</v>
      </c>
      <c r="F5" t="s">
        <v>28</v>
      </c>
      <c r="G5" t="s">
        <v>29</v>
      </c>
      <c r="I5" t="s">
        <v>30</v>
      </c>
    </row>
    <row r="6" spans="1:10" x14ac:dyDescent="0.25">
      <c r="A6" t="s">
        <v>28</v>
      </c>
      <c r="B6" t="s">
        <v>31</v>
      </c>
      <c r="C6">
        <v>4</v>
      </c>
      <c r="E6" t="s">
        <v>28</v>
      </c>
      <c r="F6" t="s">
        <v>32</v>
      </c>
      <c r="G6" t="s">
        <v>33</v>
      </c>
      <c r="I6" t="s">
        <v>34</v>
      </c>
    </row>
    <row r="7" spans="1:10" x14ac:dyDescent="0.25">
      <c r="A7" t="s">
        <v>32</v>
      </c>
      <c r="B7" t="s">
        <v>35</v>
      </c>
      <c r="C7">
        <v>5</v>
      </c>
      <c r="E7" t="s">
        <v>28</v>
      </c>
      <c r="F7" t="s">
        <v>36</v>
      </c>
      <c r="G7" t="b">
        <v>0</v>
      </c>
      <c r="I7" t="s">
        <v>37</v>
      </c>
      <c r="J7">
        <v>1</v>
      </c>
    </row>
    <row r="8" spans="1:10" x14ac:dyDescent="0.25">
      <c r="A8" t="s">
        <v>36</v>
      </c>
      <c r="B8" t="s">
        <v>38</v>
      </c>
      <c r="C8">
        <v>6</v>
      </c>
      <c r="E8" t="s">
        <v>32</v>
      </c>
      <c r="F8" t="s">
        <v>39</v>
      </c>
      <c r="G8" t="s">
        <v>40</v>
      </c>
      <c r="I8" t="s">
        <v>41</v>
      </c>
    </row>
    <row r="9" spans="1:10" x14ac:dyDescent="0.25">
      <c r="A9" t="s">
        <v>42</v>
      </c>
      <c r="B9" t="s">
        <v>43</v>
      </c>
      <c r="C9">
        <v>6</v>
      </c>
      <c r="E9" t="s">
        <v>36</v>
      </c>
      <c r="F9" t="s">
        <v>42</v>
      </c>
      <c r="G9" t="s">
        <v>44</v>
      </c>
      <c r="I9" t="s">
        <v>45</v>
      </c>
      <c r="J9">
        <v>4</v>
      </c>
    </row>
    <row r="10" spans="1:10" x14ac:dyDescent="0.25">
      <c r="A10" t="s">
        <v>46</v>
      </c>
      <c r="B10" t="s">
        <v>47</v>
      </c>
      <c r="C10">
        <v>7</v>
      </c>
      <c r="E10" t="s">
        <v>42</v>
      </c>
      <c r="F10" t="s">
        <v>46</v>
      </c>
      <c r="G10" t="s">
        <v>48</v>
      </c>
      <c r="I10" t="s">
        <v>49</v>
      </c>
    </row>
    <row r="11" spans="1:10" x14ac:dyDescent="0.25">
      <c r="A11" t="s">
        <v>50</v>
      </c>
      <c r="B11" t="s">
        <v>51</v>
      </c>
      <c r="C11">
        <v>8</v>
      </c>
      <c r="E11" t="s">
        <v>42</v>
      </c>
      <c r="F11" t="s">
        <v>52</v>
      </c>
      <c r="G11" t="s">
        <v>53</v>
      </c>
    </row>
    <row r="12" spans="1:10" x14ac:dyDescent="0.25">
      <c r="A12" t="s">
        <v>54</v>
      </c>
      <c r="B12" t="s">
        <v>55</v>
      </c>
      <c r="C12">
        <v>6</v>
      </c>
      <c r="E12" t="s">
        <v>46</v>
      </c>
      <c r="F12" t="s">
        <v>50</v>
      </c>
      <c r="G12" t="s">
        <v>56</v>
      </c>
      <c r="I12" t="s">
        <v>57</v>
      </c>
    </row>
    <row r="13" spans="1:10" x14ac:dyDescent="0.25">
      <c r="A13" t="s">
        <v>52</v>
      </c>
      <c r="B13" t="s">
        <v>58</v>
      </c>
      <c r="C13" s="9">
        <v>46335</v>
      </c>
      <c r="E13" t="s">
        <v>46</v>
      </c>
      <c r="F13" t="s">
        <v>54</v>
      </c>
      <c r="G13" t="b">
        <v>0</v>
      </c>
      <c r="I13" t="s">
        <v>59</v>
      </c>
    </row>
    <row r="14" spans="1:10" x14ac:dyDescent="0.25">
      <c r="A14" t="s">
        <v>39</v>
      </c>
      <c r="B14" t="s">
        <v>60</v>
      </c>
      <c r="C14">
        <v>12</v>
      </c>
      <c r="E14" t="s">
        <v>50</v>
      </c>
      <c r="F14" t="s">
        <v>54</v>
      </c>
      <c r="G14" t="s">
        <v>29</v>
      </c>
      <c r="I14" t="s">
        <v>61</v>
      </c>
    </row>
    <row r="15" spans="1:10" x14ac:dyDescent="0.25">
      <c r="E15" t="s">
        <v>54</v>
      </c>
      <c r="F15" t="s">
        <v>42</v>
      </c>
      <c r="G15" t="s">
        <v>62</v>
      </c>
      <c r="I15" t="s">
        <v>63</v>
      </c>
    </row>
    <row r="16" spans="1:10" x14ac:dyDescent="0.25">
      <c r="E16" t="s">
        <v>52</v>
      </c>
      <c r="F16" t="s">
        <v>39</v>
      </c>
      <c r="G16" t="s">
        <v>64</v>
      </c>
      <c r="I16" t="s">
        <v>65</v>
      </c>
    </row>
    <row r="19" spans="1:12" ht="17.25" x14ac:dyDescent="0.3">
      <c r="A19" s="12"/>
      <c r="B19" s="11"/>
      <c r="C19" s="11"/>
      <c r="D19" s="11"/>
      <c r="E19" s="11"/>
      <c r="F19" s="11"/>
      <c r="G19" s="11"/>
      <c r="H19" s="11"/>
      <c r="I19" s="11"/>
      <c r="J19" s="11"/>
    </row>
    <row r="21" spans="1:12" x14ac:dyDescent="0.25">
      <c r="A21" s="13"/>
      <c r="B21" s="11"/>
      <c r="C21" s="11"/>
      <c r="D21" s="11"/>
      <c r="E21" s="13"/>
      <c r="F21" s="11"/>
      <c r="G21" s="11"/>
      <c r="H21" s="11"/>
      <c r="I21" s="13"/>
      <c r="J21" s="11"/>
    </row>
    <row r="22" spans="1:12" x14ac:dyDescent="0.25">
      <c r="A22" s="15"/>
      <c r="B22" s="15"/>
      <c r="C22" s="15"/>
      <c r="D22" s="15"/>
      <c r="E22" s="15"/>
      <c r="F22" s="15"/>
      <c r="G22" s="15"/>
      <c r="H22" s="15"/>
      <c r="I22" s="15"/>
      <c r="J22" s="15"/>
    </row>
    <row r="23" spans="1:12" x14ac:dyDescent="0.25">
      <c r="A23" s="14"/>
      <c r="B23" s="15"/>
      <c r="C23" s="14"/>
      <c r="D23" s="11"/>
      <c r="E23" s="14"/>
      <c r="F23" s="14"/>
      <c r="G23" s="15"/>
      <c r="H23" s="11"/>
      <c r="I23" s="11"/>
      <c r="J23" s="11"/>
      <c r="K23" s="11"/>
      <c r="L23" s="11"/>
    </row>
    <row r="24" spans="1:12" x14ac:dyDescent="0.25">
      <c r="A24" s="14"/>
      <c r="B24" s="15"/>
      <c r="C24" s="14"/>
      <c r="D24" s="11"/>
      <c r="E24" s="14"/>
      <c r="F24" s="14"/>
      <c r="G24" s="15"/>
      <c r="H24" s="11"/>
      <c r="I24" s="11"/>
      <c r="J24" s="11"/>
      <c r="K24" s="11"/>
      <c r="L24" s="11"/>
    </row>
    <row r="25" spans="1:12" x14ac:dyDescent="0.25">
      <c r="A25" s="14"/>
      <c r="B25" s="15"/>
      <c r="C25" s="14"/>
      <c r="D25" s="11"/>
      <c r="E25" s="14"/>
      <c r="F25" s="14"/>
      <c r="G25" s="15"/>
      <c r="H25" s="11"/>
      <c r="I25" s="11"/>
      <c r="J25" s="11"/>
      <c r="K25" s="11"/>
      <c r="L25" s="11"/>
    </row>
    <row r="26" spans="1:12" x14ac:dyDescent="0.25">
      <c r="A26" s="14"/>
      <c r="B26" s="15"/>
      <c r="C26" s="14"/>
      <c r="D26" s="11"/>
      <c r="E26" s="14"/>
      <c r="F26" s="14"/>
      <c r="G26" s="15"/>
      <c r="H26" s="11"/>
      <c r="I26" s="11"/>
      <c r="J26" s="11"/>
      <c r="K26" s="11"/>
      <c r="L26" s="11"/>
    </row>
    <row r="27" spans="1:12" x14ac:dyDescent="0.25">
      <c r="A27" s="14"/>
      <c r="B27" s="15"/>
      <c r="C27" s="14"/>
      <c r="D27" s="11"/>
      <c r="E27" s="14"/>
      <c r="F27" s="14"/>
      <c r="G27" s="15"/>
      <c r="H27" s="11"/>
      <c r="I27" s="11"/>
      <c r="J27" s="11"/>
      <c r="K27" s="11"/>
      <c r="L27" s="11"/>
    </row>
    <row r="28" spans="1:12" x14ac:dyDescent="0.25">
      <c r="A28" s="14"/>
      <c r="B28" s="15"/>
      <c r="C28" s="14"/>
      <c r="D28" s="11"/>
      <c r="E28" s="14"/>
      <c r="F28" s="14"/>
      <c r="G28" s="15"/>
      <c r="H28" s="11"/>
      <c r="I28" s="11"/>
      <c r="J28" s="11"/>
      <c r="K28" s="11"/>
      <c r="L28" s="11"/>
    </row>
    <row r="29" spans="1:12" x14ac:dyDescent="0.25">
      <c r="A29" s="14"/>
      <c r="B29" s="15"/>
      <c r="C29" s="14"/>
      <c r="D29" s="11"/>
      <c r="E29" s="14"/>
      <c r="F29" s="14"/>
      <c r="G29" s="15"/>
      <c r="H29" s="11"/>
      <c r="I29" s="11"/>
      <c r="J29" s="11"/>
      <c r="K29" s="11"/>
      <c r="L29" s="11"/>
    </row>
    <row r="30" spans="1:12" x14ac:dyDescent="0.25">
      <c r="A30" s="14"/>
      <c r="B30" s="15"/>
      <c r="C30" s="14"/>
      <c r="D30" s="11"/>
      <c r="E30" s="14"/>
      <c r="F30" s="14"/>
      <c r="G30" s="15"/>
      <c r="H30" s="11"/>
      <c r="I30" s="11"/>
      <c r="J30" s="11"/>
      <c r="K30" s="11"/>
      <c r="L30" s="11"/>
    </row>
    <row r="31" spans="1:12" x14ac:dyDescent="0.25">
      <c r="A31" s="14"/>
      <c r="B31" s="15"/>
      <c r="C31" s="14"/>
      <c r="D31" s="11"/>
      <c r="E31" s="14"/>
      <c r="F31" s="14"/>
      <c r="G31" s="15"/>
      <c r="H31" s="11"/>
      <c r="I31" s="11"/>
      <c r="J31" s="11"/>
      <c r="K31" s="11"/>
      <c r="L31" s="11"/>
    </row>
    <row r="32" spans="1:12" x14ac:dyDescent="0.25">
      <c r="A32" s="14"/>
      <c r="B32" s="15"/>
      <c r="C32" s="14"/>
      <c r="D32" s="11"/>
      <c r="E32" s="14"/>
      <c r="F32" s="14"/>
      <c r="G32" s="15"/>
      <c r="H32" s="11"/>
      <c r="I32" s="11"/>
      <c r="J32" s="11"/>
      <c r="K32" s="11"/>
      <c r="L32" s="11"/>
    </row>
    <row r="33" spans="1:12" x14ac:dyDescent="0.25">
      <c r="A33" s="11"/>
      <c r="B33" s="11"/>
      <c r="C33" s="11"/>
      <c r="D33" s="11"/>
      <c r="E33" s="14"/>
      <c r="F33" s="14"/>
      <c r="G33" s="15"/>
      <c r="H33" s="11"/>
      <c r="I33" s="11"/>
      <c r="J33" s="11"/>
      <c r="K33" s="11"/>
      <c r="L33" s="11"/>
    </row>
    <row r="34" spans="1:12" x14ac:dyDescent="0.25">
      <c r="A34" s="11"/>
      <c r="B34" s="11"/>
      <c r="C34" s="11"/>
      <c r="D34" s="11"/>
      <c r="E34" s="14"/>
      <c r="F34" s="14"/>
      <c r="G34" s="15"/>
      <c r="H34" s="11"/>
      <c r="I34" s="16"/>
      <c r="J34" s="11"/>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3C815-494A-40AA-BD11-EA8DA85BC199}">
  <dimension ref="A1:H26"/>
  <sheetViews>
    <sheetView topLeftCell="A7" workbookViewId="0">
      <selection activeCell="I24" sqref="I24"/>
    </sheetView>
  </sheetViews>
  <sheetFormatPr baseColWidth="10" defaultRowHeight="15" x14ac:dyDescent="0.25"/>
  <sheetData>
    <row r="1" spans="1:8" x14ac:dyDescent="0.25">
      <c r="A1" t="s">
        <v>66</v>
      </c>
    </row>
    <row r="3" spans="1:8" x14ac:dyDescent="0.25">
      <c r="A3" s="17" t="s">
        <v>67</v>
      </c>
      <c r="D3" s="17" t="s">
        <v>68</v>
      </c>
      <c r="G3" s="17" t="s">
        <v>69</v>
      </c>
    </row>
    <row r="4" spans="1:8" x14ac:dyDescent="0.25">
      <c r="A4" s="10" t="s">
        <v>70</v>
      </c>
      <c r="B4" s="10" t="s">
        <v>71</v>
      </c>
      <c r="D4" s="10" t="s">
        <v>72</v>
      </c>
      <c r="E4" s="10" t="s">
        <v>73</v>
      </c>
      <c r="G4" s="10" t="s">
        <v>74</v>
      </c>
      <c r="H4" s="10" t="s">
        <v>75</v>
      </c>
    </row>
    <row r="5" spans="1:8" x14ac:dyDescent="0.25">
      <c r="A5" t="s">
        <v>76</v>
      </c>
      <c r="B5">
        <v>1</v>
      </c>
      <c r="D5" t="s">
        <v>77</v>
      </c>
      <c r="E5">
        <v>3</v>
      </c>
      <c r="G5" t="s">
        <v>78</v>
      </c>
      <c r="H5">
        <f>COUNTA(A5:A21)</f>
        <v>17</v>
      </c>
    </row>
    <row r="6" spans="1:8" x14ac:dyDescent="0.25">
      <c r="A6" t="s">
        <v>79</v>
      </c>
      <c r="B6">
        <v>8</v>
      </c>
      <c r="D6" t="s">
        <v>80</v>
      </c>
      <c r="E6">
        <v>2</v>
      </c>
      <c r="G6" t="s">
        <v>81</v>
      </c>
      <c r="H6">
        <f>SUM(B5:B21)</f>
        <v>48</v>
      </c>
    </row>
    <row r="7" spans="1:8" x14ac:dyDescent="0.25">
      <c r="A7" t="s">
        <v>82</v>
      </c>
      <c r="B7">
        <v>3</v>
      </c>
      <c r="D7" t="s">
        <v>83</v>
      </c>
      <c r="E7">
        <v>7</v>
      </c>
      <c r="G7" t="s">
        <v>84</v>
      </c>
      <c r="H7">
        <f>COUNTA(D5:D12)</f>
        <v>8</v>
      </c>
    </row>
    <row r="8" spans="1:8" x14ac:dyDescent="0.25">
      <c r="A8" t="s">
        <v>85</v>
      </c>
      <c r="B8">
        <v>1</v>
      </c>
      <c r="D8" t="s">
        <v>86</v>
      </c>
      <c r="E8">
        <v>4</v>
      </c>
      <c r="G8" t="s">
        <v>87</v>
      </c>
      <c r="H8">
        <f>SUM(E5:E12)</f>
        <v>36</v>
      </c>
    </row>
    <row r="9" spans="1:8" x14ac:dyDescent="0.25">
      <c r="A9" t="s">
        <v>88</v>
      </c>
      <c r="B9">
        <v>9</v>
      </c>
      <c r="D9" t="s">
        <v>89</v>
      </c>
      <c r="E9">
        <v>6</v>
      </c>
      <c r="G9" t="s">
        <v>90</v>
      </c>
      <c r="H9">
        <f>H5+H7</f>
        <v>25</v>
      </c>
    </row>
    <row r="10" spans="1:8" x14ac:dyDescent="0.25">
      <c r="A10" t="s">
        <v>91</v>
      </c>
      <c r="B10">
        <v>1</v>
      </c>
      <c r="D10" t="s">
        <v>92</v>
      </c>
      <c r="E10">
        <v>7</v>
      </c>
      <c r="G10" t="s">
        <v>93</v>
      </c>
      <c r="H10">
        <f>H6+H8</f>
        <v>84</v>
      </c>
    </row>
    <row r="11" spans="1:8" x14ac:dyDescent="0.25">
      <c r="A11" t="s">
        <v>94</v>
      </c>
      <c r="B11">
        <v>8</v>
      </c>
      <c r="D11" t="s">
        <v>95</v>
      </c>
      <c r="E11">
        <v>3</v>
      </c>
      <c r="G11" t="s">
        <v>96</v>
      </c>
      <c r="H11">
        <f>H10*LOG(H9,2)</f>
        <v>390.08391994107683</v>
      </c>
    </row>
    <row r="12" spans="1:8" x14ac:dyDescent="0.25">
      <c r="A12" t="s">
        <v>97</v>
      </c>
      <c r="B12">
        <v>2</v>
      </c>
      <c r="D12" t="s">
        <v>98</v>
      </c>
      <c r="E12">
        <v>4</v>
      </c>
      <c r="G12" t="s">
        <v>99</v>
      </c>
      <c r="H12">
        <f>(H5/2)*(H8/H7)</f>
        <v>38.25</v>
      </c>
    </row>
    <row r="13" spans="1:8" x14ac:dyDescent="0.25">
      <c r="A13" t="s">
        <v>100</v>
      </c>
      <c r="B13">
        <v>1</v>
      </c>
      <c r="G13" t="s">
        <v>101</v>
      </c>
      <c r="H13">
        <f>H12*H11</f>
        <v>14920.709937746189</v>
      </c>
    </row>
    <row r="14" spans="1:8" x14ac:dyDescent="0.25">
      <c r="A14" t="s">
        <v>35</v>
      </c>
      <c r="B14">
        <v>1</v>
      </c>
      <c r="G14" t="s">
        <v>102</v>
      </c>
      <c r="H14">
        <f>H13/18</f>
        <v>828.92832987478823</v>
      </c>
    </row>
    <row r="15" spans="1:8" x14ac:dyDescent="0.25">
      <c r="A15" t="s">
        <v>103</v>
      </c>
      <c r="B15">
        <v>1</v>
      </c>
      <c r="G15" t="s">
        <v>104</v>
      </c>
      <c r="H15">
        <f>H11/3000</f>
        <v>0.13002797331369229</v>
      </c>
    </row>
    <row r="16" spans="1:8" x14ac:dyDescent="0.25">
      <c r="A16" t="s">
        <v>105</v>
      </c>
      <c r="B16">
        <v>2</v>
      </c>
    </row>
    <row r="17" spans="1:8" x14ac:dyDescent="0.25">
      <c r="A17" t="s">
        <v>106</v>
      </c>
      <c r="B17">
        <v>2</v>
      </c>
      <c r="G17" t="s">
        <v>107</v>
      </c>
    </row>
    <row r="18" spans="1:8" x14ac:dyDescent="0.25">
      <c r="A18" t="s">
        <v>108</v>
      </c>
      <c r="B18">
        <v>2</v>
      </c>
      <c r="G18" t="s">
        <v>109</v>
      </c>
    </row>
    <row r="19" spans="1:8" x14ac:dyDescent="0.25">
      <c r="A19" t="s">
        <v>110</v>
      </c>
      <c r="B19">
        <v>2</v>
      </c>
      <c r="G19" t="s">
        <v>111</v>
      </c>
    </row>
    <row r="20" spans="1:8" x14ac:dyDescent="0.25">
      <c r="A20" t="s">
        <v>112</v>
      </c>
      <c r="B20">
        <v>2</v>
      </c>
      <c r="G20" t="s">
        <v>113</v>
      </c>
    </row>
    <row r="21" spans="1:8" x14ac:dyDescent="0.25">
      <c r="A21" t="s">
        <v>114</v>
      </c>
      <c r="B21">
        <v>2</v>
      </c>
      <c r="G21" t="s">
        <v>115</v>
      </c>
    </row>
    <row r="22" spans="1:8" x14ac:dyDescent="0.25">
      <c r="G22" t="s">
        <v>116</v>
      </c>
    </row>
    <row r="24" spans="1:8" x14ac:dyDescent="0.25">
      <c r="A24" s="22" t="s">
        <v>119</v>
      </c>
      <c r="B24" s="21"/>
      <c r="C24" s="21"/>
      <c r="D24" s="21"/>
      <c r="E24" s="21"/>
      <c r="F24" s="21"/>
      <c r="G24" s="21"/>
      <c r="H24" s="21"/>
    </row>
    <row r="25" spans="1:8" x14ac:dyDescent="0.25">
      <c r="A25" s="18" t="s">
        <v>117</v>
      </c>
      <c r="B25" s="21"/>
      <c r="C25" s="21"/>
      <c r="D25" s="21"/>
      <c r="E25" s="21"/>
      <c r="F25" s="21"/>
      <c r="G25" s="21"/>
      <c r="H25" s="21"/>
    </row>
    <row r="26" spans="1:8" x14ac:dyDescent="0.25">
      <c r="A26" s="20" t="s">
        <v>118</v>
      </c>
      <c r="B26" s="19"/>
      <c r="C26" s="19"/>
      <c r="D26" s="19"/>
      <c r="E26" s="19"/>
      <c r="F26" s="19"/>
      <c r="G26" s="19"/>
      <c r="H26" s="19"/>
    </row>
  </sheetData>
  <mergeCells count="2">
    <mergeCell ref="A25:H25"/>
    <mergeCell ref="A24:H2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ACAEE0-07AE-405B-BC63-2DF38862B278}">
  <dimension ref="A1:J15"/>
  <sheetViews>
    <sheetView tabSelected="1" workbookViewId="0">
      <selection activeCell="A15" sqref="A15"/>
    </sheetView>
  </sheetViews>
  <sheetFormatPr baseColWidth="10" defaultRowHeight="15" x14ac:dyDescent="0.25"/>
  <sheetData>
    <row r="1" spans="1:10" ht="17.25" x14ac:dyDescent="0.3">
      <c r="A1" s="28" t="s">
        <v>120</v>
      </c>
      <c r="B1" s="23"/>
      <c r="C1" s="23"/>
      <c r="D1" s="23"/>
      <c r="E1" s="23"/>
      <c r="F1" s="23"/>
      <c r="G1" s="23"/>
      <c r="H1" s="23"/>
      <c r="I1" s="23"/>
      <c r="J1" s="23"/>
    </row>
    <row r="2" spans="1:10" x14ac:dyDescent="0.25">
      <c r="A2" s="23"/>
      <c r="B2" s="23"/>
      <c r="C2" s="23"/>
      <c r="D2" s="23"/>
      <c r="E2" s="23"/>
      <c r="F2" s="23"/>
      <c r="G2" s="23"/>
      <c r="H2" s="23"/>
      <c r="I2" s="23"/>
      <c r="J2" s="23"/>
    </row>
    <row r="3" spans="1:10" x14ac:dyDescent="0.25">
      <c r="A3" s="27" t="s">
        <v>121</v>
      </c>
      <c r="B3" s="23"/>
      <c r="C3" s="23"/>
      <c r="D3" s="23"/>
      <c r="E3" s="23"/>
      <c r="F3" s="27" t="s">
        <v>122</v>
      </c>
      <c r="G3" s="23"/>
      <c r="H3" s="23"/>
      <c r="I3" s="23"/>
      <c r="J3" s="23"/>
    </row>
    <row r="4" spans="1:10" x14ac:dyDescent="0.25">
      <c r="A4" s="29" t="s">
        <v>123</v>
      </c>
      <c r="B4" s="29" t="s">
        <v>124</v>
      </c>
      <c r="C4" s="29" t="s">
        <v>125</v>
      </c>
      <c r="D4" s="23"/>
      <c r="E4" s="23"/>
      <c r="F4" s="29" t="s">
        <v>123</v>
      </c>
      <c r="G4" s="29" t="s">
        <v>126</v>
      </c>
      <c r="H4" s="29" t="s">
        <v>127</v>
      </c>
      <c r="I4" s="29" t="s">
        <v>128</v>
      </c>
      <c r="J4" s="29" t="s">
        <v>125</v>
      </c>
    </row>
    <row r="5" spans="1:10" x14ac:dyDescent="0.25">
      <c r="A5" s="24" t="s">
        <v>129</v>
      </c>
      <c r="B5" s="25" t="s">
        <v>130</v>
      </c>
      <c r="C5" s="25" t="s">
        <v>131</v>
      </c>
      <c r="D5" s="23"/>
      <c r="E5" s="23"/>
      <c r="F5" s="24" t="s">
        <v>129</v>
      </c>
      <c r="G5" s="25" t="s">
        <v>132</v>
      </c>
      <c r="H5" s="25" t="s">
        <v>133</v>
      </c>
      <c r="I5" s="25" t="s">
        <v>134</v>
      </c>
      <c r="J5" s="25" t="s">
        <v>131</v>
      </c>
    </row>
    <row r="6" spans="1:10" x14ac:dyDescent="0.25">
      <c r="A6" s="24" t="s">
        <v>135</v>
      </c>
      <c r="B6" s="25" t="s">
        <v>136</v>
      </c>
      <c r="C6" s="25" t="s">
        <v>131</v>
      </c>
      <c r="D6" s="23"/>
      <c r="E6" s="23"/>
      <c r="F6" s="24" t="s">
        <v>135</v>
      </c>
      <c r="G6" s="25" t="s">
        <v>137</v>
      </c>
      <c r="H6" s="25" t="s">
        <v>138</v>
      </c>
      <c r="I6" s="25" t="s">
        <v>139</v>
      </c>
      <c r="J6" s="25" t="s">
        <v>131</v>
      </c>
    </row>
    <row r="7" spans="1:10" x14ac:dyDescent="0.25">
      <c r="A7" s="24" t="s">
        <v>140</v>
      </c>
      <c r="B7" s="25" t="s">
        <v>141</v>
      </c>
      <c r="C7" s="25" t="s">
        <v>131</v>
      </c>
      <c r="D7" s="23"/>
      <c r="E7" s="23"/>
      <c r="F7" s="24" t="s">
        <v>140</v>
      </c>
      <c r="G7" s="25" t="s">
        <v>132</v>
      </c>
      <c r="H7" s="25" t="s">
        <v>142</v>
      </c>
      <c r="I7" s="25" t="s">
        <v>143</v>
      </c>
      <c r="J7" s="25" t="s">
        <v>131</v>
      </c>
    </row>
    <row r="8" spans="1:10" x14ac:dyDescent="0.25">
      <c r="A8" s="24" t="s">
        <v>144</v>
      </c>
      <c r="B8" s="25" t="s">
        <v>145</v>
      </c>
      <c r="C8" s="25" t="s">
        <v>131</v>
      </c>
      <c r="D8" s="23"/>
      <c r="E8" s="23"/>
      <c r="F8" s="24" t="s">
        <v>144</v>
      </c>
      <c r="G8" s="25" t="s">
        <v>146</v>
      </c>
      <c r="H8" s="25" t="s">
        <v>142</v>
      </c>
      <c r="I8" s="25" t="s">
        <v>147</v>
      </c>
      <c r="J8" s="25" t="s">
        <v>131</v>
      </c>
    </row>
    <row r="9" spans="1:10" x14ac:dyDescent="0.25">
      <c r="A9" s="24" t="s">
        <v>148</v>
      </c>
      <c r="B9" s="25" t="s">
        <v>149</v>
      </c>
      <c r="C9" s="25" t="s">
        <v>131</v>
      </c>
      <c r="D9" s="23"/>
      <c r="E9" s="23"/>
      <c r="F9" s="24" t="s">
        <v>148</v>
      </c>
      <c r="G9" s="25" t="s">
        <v>146</v>
      </c>
      <c r="H9" s="25" t="s">
        <v>142</v>
      </c>
      <c r="I9" s="25" t="s">
        <v>147</v>
      </c>
      <c r="J9" s="25" t="s">
        <v>131</v>
      </c>
    </row>
    <row r="10" spans="1:10" x14ac:dyDescent="0.25">
      <c r="A10" s="24" t="s">
        <v>150</v>
      </c>
      <c r="B10" s="26"/>
      <c r="C10" s="25" t="s">
        <v>131</v>
      </c>
      <c r="D10" s="23"/>
      <c r="E10" s="23"/>
      <c r="F10" s="24" t="s">
        <v>150</v>
      </c>
      <c r="G10" s="26"/>
      <c r="H10" s="26"/>
      <c r="I10" s="26"/>
      <c r="J10" s="25" t="s">
        <v>131</v>
      </c>
    </row>
    <row r="11" spans="1:10" x14ac:dyDescent="0.25">
      <c r="A11" s="23"/>
      <c r="B11" s="23"/>
      <c r="C11" s="23"/>
      <c r="D11" s="23"/>
      <c r="E11" s="23"/>
      <c r="F11" s="23"/>
      <c r="G11" s="23"/>
      <c r="H11" s="23"/>
      <c r="I11" s="23"/>
      <c r="J11" s="23"/>
    </row>
    <row r="12" spans="1:10" x14ac:dyDescent="0.25">
      <c r="A12" s="23" t="s">
        <v>151</v>
      </c>
      <c r="B12" s="23"/>
      <c r="C12" s="23"/>
      <c r="D12" s="23"/>
      <c r="E12" s="23"/>
      <c r="F12" s="23"/>
      <c r="G12" s="23"/>
      <c r="H12" s="23"/>
      <c r="I12" s="23"/>
      <c r="J12" s="23"/>
    </row>
    <row r="13" spans="1:10" x14ac:dyDescent="0.25">
      <c r="A13" s="27" t="s">
        <v>152</v>
      </c>
      <c r="B13" s="23"/>
      <c r="C13" s="23"/>
      <c r="D13" s="23"/>
      <c r="E13" s="23"/>
      <c r="F13" s="23"/>
      <c r="G13" s="23"/>
      <c r="H13" s="23"/>
      <c r="I13" s="23"/>
      <c r="J13" s="23"/>
    </row>
    <row r="14" spans="1:10" x14ac:dyDescent="0.25">
      <c r="A14" s="27" t="s">
        <v>153</v>
      </c>
      <c r="B14" s="23"/>
      <c r="C14" s="23"/>
      <c r="D14" s="23"/>
      <c r="E14" s="23"/>
      <c r="F14" s="23"/>
      <c r="G14" s="23"/>
      <c r="H14" s="23"/>
      <c r="I14" s="23"/>
      <c r="J14" s="23"/>
    </row>
    <row r="15" spans="1:10" x14ac:dyDescent="0.25">
      <c r="A15" s="27" t="s">
        <v>154</v>
      </c>
      <c r="B15" s="23"/>
      <c r="C15" s="23"/>
      <c r="D15" s="23"/>
      <c r="E15" s="23"/>
      <c r="F15" s="23"/>
      <c r="G15" s="23"/>
      <c r="H15" s="23"/>
      <c r="I15" s="23"/>
      <c r="J15"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LOC</vt:lpstr>
      <vt:lpstr>CC</vt:lpstr>
      <vt:lpstr>Halstead</vt:lpstr>
      <vt:lpstr>Albrecht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Romain PERO</cp:lastModifiedBy>
  <cp:revision>0</cp:revision>
  <dcterms:created xsi:type="dcterms:W3CDTF">2026-10-01T08:45:44Z</dcterms:created>
  <dcterms:modified xsi:type="dcterms:W3CDTF">2026-10-21T21:51:19Z</dcterms:modified>
  <dc:language>en-US</dc:language>
</cp:coreProperties>
</file>