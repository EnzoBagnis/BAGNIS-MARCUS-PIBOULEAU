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 sheetId="1" r:id="rId5"/>
    <sheet state="visible" name="CC" sheetId="2" r:id="rId6"/>
    <sheet state="visible" name="Halstead" sheetId="3" r:id="rId7"/>
    <sheet state="visible" name="Albrecht" sheetId="4" r:id="rId8"/>
    <sheet state="visible" name="MI" sheetId="5" r:id="rId9"/>
    <sheet state="visible" name="TFC" sheetId="6" r:id="rId10"/>
    <sheet state="visible" name="r201DOOEngins-ENS" sheetId="7" r:id="rId11"/>
    <sheet state="visible" name="Couplage-Cohésion" sheetId="8" r:id="rId12"/>
    <sheet state="visible" name="HPC" sheetId="9" r:id="rId13"/>
  </sheets>
  <definedNames/>
  <calcPr/>
</workbook>
</file>

<file path=xl/sharedStrings.xml><?xml version="1.0" encoding="utf-8"?>
<sst xmlns="http://schemas.openxmlformats.org/spreadsheetml/2006/main" count="312" uniqueCount="253">
  <si>
    <t>Mesure LOC (Lines Of Code) - projet BAGNIS-MARCUS-PIBOULEAU</t>
  </si>
  <si>
    <t>Périmètre</t>
  </si>
  <si>
    <t>Fichiers</t>
  </si>
  <si>
    <t>LOC (lignes non vides)</t>
  </si>
  <si>
    <t>LOC moyen / fichier</t>
  </si>
  <si>
    <t>Dépôt complet (script scriptligne.sh)</t>
  </si>
  <si>
    <t>Application ./app (php, js, jsx, css, ps1)</t>
  </si>
  <si>
    <t>Écart (Maquette, lockfile, etc.)</t>
  </si>
  <si>
    <t>Méthode et hypothèses</t>
  </si>
  <si>
    <t>LOC = lignes non vides (commentaires inclus), mesurées avec le script bash scriptligne.sh.</t>
  </si>
  <si>
    <t>Dépôt complet : exclut seulement .git, node_modules, .venv, __pycache__ (fichiers binaires ignorés).</t>
  </si>
  <si>
    <t>Application : find ./app sur *.php, *.js, *.jsx, *.css, *.ps1, hors node_modules et vendor.</t>
  </si>
  <si>
    <t>Le dépôt complet inclut pnpm-lock.yaml (1077 lignes, fichier généré) et la Maquette (prototype).</t>
  </si>
  <si>
    <t>Les valeurs en bleu sont des résultats saisis depuis le terminal ; les valeurs en noir sont des formules.</t>
  </si>
  <si>
    <t>Le périmètre ./app exclut .html, .sql, .json, .md, .yml.</t>
  </si>
  <si>
    <t>Complexité cyclomatique (CC) - iqsort0</t>
  </si>
  <si>
    <t>Nœuds</t>
  </si>
  <si>
    <t>Arêtes</t>
  </si>
  <si>
    <t>Calcul de V(G) = E - N + 2P</t>
  </si>
  <si>
    <t>Nœud</t>
  </si>
  <si>
    <t>Instruction</t>
  </si>
  <si>
    <t>Lignes</t>
  </si>
  <si>
    <t>De</t>
  </si>
  <si>
    <t>Vers</t>
  </si>
  <si>
    <t>E (arêtes)</t>
  </si>
  <si>
    <t>N1</t>
  </si>
  <si>
    <t>if (n &lt;= 1)</t>
  </si>
  <si>
    <t>3-4</t>
  </si>
  <si>
    <t>N2</t>
  </si>
  <si>
    <t>N (nœuds)</t>
  </si>
  <si>
    <t>return</t>
  </si>
  <si>
    <t>5</t>
  </si>
  <si>
    <t>N3</t>
  </si>
  <si>
    <t>P (composantes connexes)</t>
  </si>
  <si>
    <t>i = 1, j = 0</t>
  </si>
  <si>
    <t>6</t>
  </si>
  <si>
    <t>N9</t>
  </si>
  <si>
    <t>V(G) = E - N + 2P</t>
  </si>
  <si>
    <t>N4</t>
  </si>
  <si>
    <t>i &lt; n ?</t>
  </si>
  <si>
    <t>Contrôle : décisions + 1 (3 décisions : lignes 4, 6, 7)</t>
  </si>
  <si>
    <t>N5</t>
  </si>
  <si>
    <t>a[i] &lt; a[0] ?</t>
  </si>
  <si>
    <t>7</t>
  </si>
  <si>
    <t>N6</t>
  </si>
  <si>
    <t>swap(++j, i, a)</t>
  </si>
  <si>
    <t>8</t>
  </si>
  <si>
    <t>N8</t>
  </si>
  <si>
    <t>Contrôle : écart avec V(G)</t>
  </si>
  <si>
    <t>N7</t>
  </si>
  <si>
    <t>i++</t>
  </si>
  <si>
    <t>swap + 2 appels iqsort0</t>
  </si>
  <si>
    <t>9-11</t>
  </si>
  <si>
    <t>Hypothèses</t>
  </si>
  <si>
    <t>Sortie</t>
  </si>
  <si>
    <t>12</t>
  </si>
  <si>
    <t>P = 1 : une seule fonction, donc un seul graphe connexe.</t>
  </si>
  <si>
    <t>Les 2 appels récursifs sont comptés dans le bloc N8 (pas de nœud de décision).</t>
  </si>
  <si>
    <t>Lignes : numérotation du code du sujet (void iqsort0 = ligne 1).</t>
  </si>
  <si>
    <t>Valeurs en bleu : saisies ; valeurs en noir : formules.</t>
  </si>
  <si>
    <t>Métriques de Halstead - iqsort0</t>
  </si>
  <si>
    <t>Opérateurs</t>
  </si>
  <si>
    <t>Opérandes</t>
  </si>
  <si>
    <t>Mesures</t>
  </si>
  <si>
    <t>Opérateur</t>
  </si>
  <si>
    <t>Occurrences</t>
  </si>
  <si>
    <t>Opérande</t>
  </si>
  <si>
    <t>nt (opérateurs distincts)</t>
  </si>
  <si>
    <t>void</t>
  </si>
  <si>
    <t>iqsort0</t>
  </si>
  <si>
    <t>Nt (occurrences d'opérateurs)</t>
  </si>
  <si>
    <t>( )</t>
  </si>
  <si>
    <t>swap</t>
  </si>
  <si>
    <t>nd (opérandes distincts)</t>
  </si>
  <si>
    <t>int</t>
  </si>
  <si>
    <t>a</t>
  </si>
  <si>
    <t>Nd (occurrences d'opérandes)</t>
  </si>
  <si>
    <t>*</t>
  </si>
  <si>
    <t>n</t>
  </si>
  <si>
    <t>Longueur N = Nt + Nd</t>
  </si>
  <si>
    <t>,</t>
  </si>
  <si>
    <t>i</t>
  </si>
  <si>
    <t>Vocabulaire n = nt + nd</t>
  </si>
  <si>
    <t>{ }</t>
  </si>
  <si>
    <t>j</t>
  </si>
  <si>
    <t>Volume = N * log2(n)</t>
  </si>
  <si>
    <t>;</t>
  </si>
  <si>
    <t>0</t>
  </si>
  <si>
    <t>Difficulté = (nt/2) * (Nd/nd)</t>
  </si>
  <si>
    <t>if</t>
  </si>
  <si>
    <t>1</t>
  </si>
  <si>
    <t>Effort = Difficulté * Volume</t>
  </si>
  <si>
    <t>&lt;=</t>
  </si>
  <si>
    <t>Conventions de comptage</t>
  </si>
  <si>
    <t>for</t>
  </si>
  <si>
    <t>Opérateurs : mots-clés (void, int, if, for, return), symboles (*, =, &lt;, &lt;=, +, -, ++), séparateurs (, ;).</t>
  </si>
  <si>
    <t>=</t>
  </si>
  <si>
    <t>Les paires ( ), { } et [ ] comptent pour un seul opérateur chacune.</t>
  </si>
  <si>
    <t>&lt;</t>
  </si>
  <si>
    <t>Opérandes : variables, constantes et noms de fonctions appelées (iqsort0, swap), comme dans le cours.</t>
  </si>
  <si>
    <t>++</t>
  </si>
  <si>
    <t>++ (préfixe ligne 8, suffixe ligne 6) est un seul opérateur ; * (déclaration du pointeur) aussi.</t>
  </si>
  <si>
    <t>[ ]</t>
  </si>
  <si>
    <t>Le choix des conventions (parenthèses, ;) influence les résultats : cf. faiblesses de Halstead.</t>
  </si>
  <si>
    <t>+</t>
  </si>
  <si>
    <t>-</t>
  </si>
  <si>
    <t>Question 7 - Validité des mesures de Halstead</t>
  </si>
  <si>
    <t xml:space="preserve">En théorie de la mesure, une mesure est valide si elle caractérise précisément l'attribut qu'elle prétend mesurer : elle associe des nombres aux entités de façon à préserver les relations empiriques (si un code est jugé plus difficile qu'un autre, son nombre doit être plus grand). Elle doit aussi être définie sans ambiguïté, donc reproductible d'une personne à l'autre. </t>
  </si>
  <si>
    <t>Or, les compteurs de base sont ambigus, car deux personnes avec le même code peuvent obtenir un résultat différent. On ne peut donc pas dire si les mesures représentent fidèlement ce qu'elles sont censées représenter.</t>
  </si>
  <si>
    <t>Score UFC</t>
  </si>
  <si>
    <t>Catégorie</t>
  </si>
  <si>
    <t>Calcul</t>
  </si>
  <si>
    <t>Sous-total</t>
  </si>
  <si>
    <t>Poids (simple / moyen / difficile)</t>
  </si>
  <si>
    <t>Scores (simple / moyen / difficile)</t>
  </si>
  <si>
    <t>Entrées externes</t>
  </si>
  <si>
    <t>3×4 + 4×3 + 6×1</t>
  </si>
  <si>
    <t>1 / 2 / 4</t>
  </si>
  <si>
    <t>1 / 1 / 0</t>
  </si>
  <si>
    <t>1×1 + 2×1 + 4×0</t>
  </si>
  <si>
    <t>Sorties externes</t>
  </si>
  <si>
    <t>4×0 + 5×2 + 7×1</t>
  </si>
  <si>
    <t>2 / 3 / 5</t>
  </si>
  <si>
    <t>0 / 1 / 0</t>
  </si>
  <si>
    <t>2×0 + 3×1 + 5×0</t>
  </si>
  <si>
    <t>Requêtes externes</t>
  </si>
  <si>
    <t>3×7 + 4×0 + 6×0</t>
  </si>
  <si>
    <t>0 / 0 / 0</t>
  </si>
  <si>
    <t>1×0 + 2×0 + 4×0</t>
  </si>
  <si>
    <t>Fichiers internes</t>
  </si>
  <si>
    <t>7×3 + 10×0 + 15×0</t>
  </si>
  <si>
    <t>3 / 5 / 8</t>
  </si>
  <si>
    <t>3×0 + 5×0 + 0×0</t>
  </si>
  <si>
    <t>Fichiers externes</t>
  </si>
  <si>
    <t>5×0 + 7×5 + 10×2</t>
  </si>
  <si>
    <t xml:space="preserve">
3 / 5 / 8</t>
  </si>
  <si>
    <t>3×0 + 5×0 + 8×0</t>
  </si>
  <si>
    <t>Total</t>
  </si>
  <si>
    <t>Pour établir des poids, on part de l'intuition que tous les éléments d'un système ne demandent pas le même travail. Dans un site marchand, un écran d'alerte « saisie incorrecte » se fait en quelques minutes, alors qu'un formulaire de saisie demande des champs, des contrôles et un enregistrement. On les range donc par niveaux (simple, moyen, difficile) en comparant leur complexité.
Pour chiffrer ces niveaux, on prend un élément simple comme référence, par exemple 3, et on en déduit les autres. Un moyen vaut un peu plus, un difficile à peu près le double. On peut aussi s'appuyer sur le temps réellement passé sur des projets précédents, ou demander l'avis de plusieurs développeurs expérimentés.
Les poids restent donc en partie subjectifs : ils dépendent de l'équipe et des technologies, et il faut les réajuster au fil des projets.</t>
  </si>
  <si>
    <t>Index of maintenability ( MI )</t>
  </si>
  <si>
    <t>171 - 5,2ln(HV) - 0,23CC - 16,2ln(LOC) + 50sin * sqrt(2,46COM)</t>
  </si>
  <si>
    <t>Volume d’Halstead (HV)</t>
  </si>
  <si>
    <t>Complexité cyclomatique (CC)</t>
  </si>
  <si>
    <t>Nombre de lignes de code (LOC)</t>
  </si>
  <si>
    <t>Pourcentage de lignes de code qui sont des commentaires (COM)</t>
  </si>
  <si>
    <t>171 - 5,2 * ln(390,08) - 0,23 * 4 - 16,2 * ln(12) + 0 = 171 − 31,03 − 0,92 − 40,26 ≈ 98,80</t>
  </si>
  <si>
    <t>Calcul avec COM</t>
  </si>
  <si>
    <t>0,52 ( 13 /24 )</t>
  </si>
  <si>
    <t>171 - 5,2 * ln(390,08) - 0,23 * 4 - 16,2 * ln(12) + 50 * sin * sqrt(2,46 * 0,52 ) = 171 − 31,03 − 0,92 − 40,26 + 45,24  ≈ 144,04</t>
  </si>
  <si>
    <t xml:space="preserve">On voit que le score est plus elevé avec les commentaires </t>
  </si>
  <si>
    <t>/*
 * Auteur      : Prénom NOM
 * Date        : 08/10/2026
 * Description : QuickSort simplifié (Bentley et McIlroy, 1993).
 *               Trie en place les n premiers éléments du tableau a,
 *               par ordre croissant.
 */
void iqsort0 ( int *a , int n )
{
    int i , j ;
    // Cas de base : un tableau de 0 ou 1 élément est déjà trié
    if ( n &lt;=1)
        return ;
    // Partitionnement autour du pivot a[0] : j = indice du dernier élément &lt; pivot
    for ( i = 1 , j = 0; i &lt; n ; i ++)
    // Si a[i] est plus petit que le pivot, on l'ajoute à la zone de gauche
        if ( a [ i ] &lt; a [0])
            swap (++ j , i , a );
    // Place le pivot à sa position définitive j
    swap (0 , j , a );
    // Tri récursif de la partie gauche (éléments &lt; pivot)
    iqsort0 (a , j );
    // Tri récursif de la partie droite (éléments &gt;= pivot)
    iqsort0 ( a + j +1 , n -j -1);
}</t>
  </si>
  <si>
    <t>Calcul TFC</t>
  </si>
  <si>
    <t>N°</t>
  </si>
  <si>
    <t>Facteur</t>
  </si>
  <si>
    <t>Note</t>
  </si>
  <si>
    <t>Justification</t>
  </si>
  <si>
    <t>Preuves</t>
  </si>
  <si>
    <t>Communications de données</t>
  </si>
  <si>
    <t>SPA qui communique avec une API REST en HTTP, avec un polling toutes les 60 s</t>
  </si>
  <si>
    <t>httpClient.js, api.php</t>
  </si>
  <si>
    <t>Traitement distribué</t>
  </si>
  <si>
    <t>Architecture client-serveur classique en 3 niveaux (front, API, MySQL)</t>
  </si>
  <si>
    <t>guide-developpeur.md, DatabaseConnection.php</t>
  </si>
  <si>
    <t>Performances</t>
  </si>
  <si>
    <t>Fluidité demandée (rotation des médias), sans seuil chiffré</t>
  </si>
  <si>
    <t>Cahier-des-charges.pdf</t>
  </si>
  <si>
    <t>Configuration très sollicitée</t>
  </si>
  <si>
    <t>Seule contrainte connue : le quota de stockage Alwaysdata</t>
  </si>
  <si>
    <t>StorageProbeInterface.php</t>
  </si>
  <si>
    <t>Taux de transactions</t>
  </si>
  <si>
    <t>Volume modeste : environ 20 profs au maximum plus un écran</t>
  </si>
  <si>
    <t>Saisie interactive</t>
  </si>
  <si>
    <t>Toutes les données (médias, playlists, réservations...) sont saisies en ligne</t>
  </si>
  <si>
    <t>MachineCalendar.jsx, MediaSection.jsx</t>
  </si>
  <si>
    <t>Efficacité pour l'utilisateur final</t>
  </si>
  <si>
    <t>Glisser-déposer, récurrence, détection de la durée des vidéos, édition en ligne</t>
  </si>
  <si>
    <t>recurrence.js, PlaylistManager.jsx</t>
  </si>
  <si>
    <t>Mise à jour interactive</t>
  </si>
  <si>
    <t>Mise à jour directe de la base, avec intégrité référentielle</t>
  </si>
  <si>
    <t>MySQLReservationRepository.php</t>
  </si>
  <si>
    <t>Traitement complexe</t>
  </si>
  <si>
    <t>CRUD enrichi (récurrence, conflits de réservation, quotas et types MIME)</t>
  </si>
  <si>
    <t>recurrence.js</t>
  </si>
  <si>
    <t>Réutilisabilité</t>
  </si>
  <si>
    <t>Composants et services modulaires, mais non distribués en bibliothèque</t>
  </si>
  <si>
    <t>ReservationRepositoryInterface.php</t>
  </si>
  <si>
    <t>Facilité d'installation</t>
  </si>
  <si>
    <t>Déploiement documenté mais manuel (pas de Docker ni de CI/CD)</t>
  </si>
  <si>
    <t>guide-developpeur.md</t>
  </si>
  <si>
    <t>Facilité d'exploitation</t>
  </si>
  <si>
    <t>Kiosque autonome avec écran de secours, mais sans logs ni monitoring ni sauvegarde</t>
  </si>
  <si>
    <t>FallbackScreen.jsx</t>
  </si>
  <si>
    <t>Sites multiples</t>
  </si>
  <si>
    <t>Application dédiée à la seule partie aéro</t>
  </si>
  <si>
    <t>EnvLoader.php</t>
  </si>
  <si>
    <t>Facilité de modification</t>
  </si>
  <si>
    <t>Architecture hexagonale, découpage par features, injection de dépendances, documentation</t>
  </si>
  <si>
    <t>Container.php</t>
  </si>
  <si>
    <t>Somme des notes</t>
  </si>
  <si>
    <t>TFC = 0,65 + 0,01 × somme</t>
  </si>
  <si>
    <t>Analyse r201DOOEngins-ENS</t>
  </si>
  <si>
    <t>LOC</t>
  </si>
  <si>
    <t>229 (276 lignes physiques, 47 vides, 47 de commentaires, 182 de code pur)</t>
  </si>
  <si>
    <t>CC</t>
  </si>
  <si>
    <t>total 40 sur 34 méthodes, moyenne 1,18, maximum 4</t>
  </si>
  <si>
    <t>Halstead</t>
  </si>
  <si>
    <t>nt = 33, Nt = 625, nd = 90, Nd = 271, N = 896, n = 123, Volume ≈ 6 220, Difficulté ≈ 49,7, Effort ≈ 309 055</t>
  </si>
  <si>
    <t>MI moyen</t>
  </si>
  <si>
    <t>UFC</t>
  </si>
  <si>
    <t>4 (lecture stricte) ou 14 (lecture « pédagogique »)</t>
  </si>
  <si>
    <t>TFC</t>
  </si>
  <si>
    <t>0,73 (somme des notes = 8)</t>
  </si>
  <si>
    <t>Couplage cohésion</t>
  </si>
  <si>
    <t>Classe</t>
  </si>
  <si>
    <t>CBO</t>
  </si>
  <si>
    <t>Classes liées</t>
  </si>
  <si>
    <t>Nb méthodes</t>
  </si>
  <si>
    <t>P</t>
  </si>
  <si>
    <t>Q</t>
  </si>
  <si>
    <t>LCOM</t>
  </si>
  <si>
    <t>Carburant</t>
  </si>
  <si>
    <t>Aucune</t>
  </si>
  <si>
    <t>Electrique</t>
  </si>
  <si>
    <t>Propulsion</t>
  </si>
  <si>
    <t>Engin</t>
  </si>
  <si>
    <t>Eolienne</t>
  </si>
  <si>
    <t>Flottant</t>
  </si>
  <si>
    <t>Engin, Propulsion</t>
  </si>
  <si>
    <t>Main</t>
  </si>
  <si>
    <t>Carburant, Electrique, Engin, Flottant, Propulsion, Roulant, Thermique</t>
  </si>
  <si>
    <t>Marker</t>
  </si>
  <si>
    <t>Roulant</t>
  </si>
  <si>
    <t>Thermique</t>
  </si>
  <si>
    <t>Propulsion, Carburant</t>
  </si>
  <si>
    <t>HPC</t>
  </si>
  <si>
    <t>Énergie (kWh) = durée × (n_cœurs × P_cœur × usage + n_mémoire × P_mémoire) × PUE / 1000</t>
  </si>
  <si>
    <t>Carbone = énergie × CI</t>
  </si>
  <si>
    <t>Paramètre</t>
  </si>
  <si>
    <t>Valeur</t>
  </si>
  <si>
    <t>Durée</t>
  </si>
  <si>
    <t>3 semaines = 504 h</t>
  </si>
  <si>
    <t>Cœurs</t>
  </si>
  <si>
    <t>12 (les 24 threads tournent sur 12 cœurs), usage 100 %</t>
  </si>
  <si>
    <t>Puissance = 12 × 10 + 3,725 = 123,725 W</t>
  </si>
  <si>
    <t>Puissance par cœur</t>
  </si>
  <si>
    <t>10 W</t>
  </si>
  <si>
    <t>Énergie = 504 × 123,725 / 1000 = 62,36 kWh, puis × 1,67 = 104,13 kWh</t>
  </si>
  <si>
    <t>Mémoire</t>
  </si>
  <si>
    <t>10 Go × 0,3725 W/Go = 3,725 W</t>
  </si>
  <si>
    <t>Carbone = 104,13 × 475 = 49 464 g ≈ 49,5 kg CO₂e</t>
  </si>
  <si>
    <t>PUE</t>
  </si>
  <si>
    <t>CI</t>
  </si>
  <si>
    <t>475 gCO₂e/kWh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</si>
</sst>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b/>
      <sz val="13.0"/>
      <color theme="1"/>
      <name val="Arial"/>
    </font>
    <font>
      <sz val="11.0"/>
      <color theme="1"/>
      <name val="Calibri"/>
    </font>
    <font>
      <b/>
      <sz val="11.0"/>
      <color theme="1"/>
      <name val="Arial"/>
    </font>
    <font>
      <sz val="11.0"/>
      <color theme="1"/>
      <name val="Arial"/>
    </font>
    <font>
      <sz val="11.0"/>
      <color rgb="FF0000FF"/>
      <name val="Arial"/>
    </font>
    <font>
      <b/>
      <sz val="12.0"/>
      <color theme="1"/>
      <name val="Arial"/>
    </font>
    <font/>
    <font>
      <color theme="1"/>
      <name val="Arial"/>
    </font>
    <font>
      <b/>
      <color theme="1"/>
      <name val="Arial"/>
    </font>
    <font>
      <color theme="1"/>
      <name val="Calibri"/>
      <scheme val="minor"/>
    </font>
    <font>
      <b/>
      <color theme="1"/>
      <name val="Calibri"/>
      <scheme val="minor"/>
    </font>
  </fonts>
  <fills count="3">
    <fill>
      <patternFill patternType="none"/>
    </fill>
    <fill>
      <patternFill patternType="lightGray"/>
    </fill>
    <fill>
      <patternFill patternType="solid">
        <fgColor rgb="FFD9E1F2"/>
        <bgColor rgb="FFD9E1F2"/>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5" numFmtId="3" xfId="0" applyAlignment="1" applyFont="1" applyNumberFormat="1">
      <alignment shrinkToFit="0" vertical="bottom" wrapText="0"/>
    </xf>
    <xf borderId="0" fillId="0" fontId="4" numFmtId="164" xfId="0" applyAlignment="1" applyFont="1" applyNumberFormat="1">
      <alignment shrinkToFit="0" vertical="bottom" wrapText="0"/>
    </xf>
    <xf borderId="0" fillId="0" fontId="4" numFmtId="3" xfId="0" applyAlignment="1" applyFont="1" applyNumberFormat="1">
      <alignment shrinkToFit="0" vertical="bottom" wrapText="0"/>
    </xf>
    <xf borderId="0" fillId="0" fontId="3" numFmtId="0" xfId="0" applyAlignment="1" applyFont="1">
      <alignment shrinkToFit="0" vertical="bottom" wrapText="0"/>
    </xf>
    <xf borderId="0" fillId="0" fontId="4" numFmtId="2" xfId="0" applyAlignment="1" applyFont="1" applyNumberFormat="1">
      <alignment shrinkToFit="0" vertical="bottom" wrapText="0"/>
    </xf>
    <xf borderId="0" fillId="0" fontId="4" numFmtId="4" xfId="0" applyAlignment="1" applyFont="1" applyNumberFormat="1">
      <alignment shrinkToFit="0" vertical="bottom" wrapText="0"/>
    </xf>
    <xf borderId="0" fillId="0" fontId="6" numFmtId="0" xfId="0" applyAlignment="1" applyFont="1">
      <alignment shrinkToFit="0" vertical="bottom" wrapText="0"/>
    </xf>
    <xf borderId="2" fillId="2" fontId="3" numFmtId="0" xfId="0" applyAlignment="1" applyBorder="1" applyFill="1" applyFont="1">
      <alignment shrinkToFit="0" vertical="bottom" wrapText="0"/>
    </xf>
    <xf borderId="3" fillId="0" fontId="7" numFmtId="0" xfId="0" applyBorder="1" applyFont="1"/>
    <xf borderId="4" fillId="0" fontId="7" numFmtId="0" xfId="0" applyBorder="1" applyFont="1"/>
    <xf borderId="0" fillId="0" fontId="4" numFmtId="0" xfId="0" applyAlignment="1" applyFont="1">
      <alignment readingOrder="0" shrinkToFit="0" vertical="top" wrapText="1"/>
    </xf>
    <xf borderId="0" fillId="0" fontId="4" numFmtId="0" xfId="0" applyAlignment="1" applyFont="1">
      <alignment shrinkToFit="0" vertical="top" wrapText="1"/>
    </xf>
    <xf borderId="1" fillId="2" fontId="3" numFmtId="0" xfId="0" applyAlignment="1" applyBorder="1" applyFill="1" applyFont="1">
      <alignment readingOrder="0" shrinkToFit="0" vertical="bottom" wrapText="0"/>
    </xf>
    <xf borderId="1" fillId="2" fontId="3" numFmtId="0" xfId="0" applyAlignment="1" applyBorder="1" applyFill="1" applyFont="1">
      <alignment readingOrder="0" shrinkToFit="0" vertical="bottom" wrapText="1"/>
    </xf>
    <xf borderId="0" fillId="0" fontId="8" numFmtId="0" xfId="0" applyAlignment="1" applyFont="1">
      <alignment readingOrder="0" shrinkToFit="0" wrapText="1"/>
    </xf>
    <xf borderId="0" fillId="0" fontId="8" numFmtId="0" xfId="0" applyAlignment="1" applyFont="1">
      <alignment readingOrder="0"/>
    </xf>
    <xf borderId="0" fillId="0" fontId="8" numFmtId="0" xfId="0" applyAlignment="1" applyFont="1">
      <alignment shrinkToFit="0" wrapText="1"/>
    </xf>
    <xf borderId="0" fillId="0" fontId="9" numFmtId="0" xfId="0" applyAlignment="1" applyFont="1">
      <alignment readingOrder="0" shrinkToFit="0" wrapText="1"/>
    </xf>
    <xf borderId="0" fillId="0" fontId="10" numFmtId="0" xfId="0" applyAlignment="1" applyFont="1">
      <alignment shrinkToFit="0" wrapText="1"/>
    </xf>
    <xf borderId="2" fillId="2" fontId="3" numFmtId="0" xfId="0" applyAlignment="1" applyBorder="1" applyFill="1" applyFont="1">
      <alignment readingOrder="0" shrinkToFit="0" vertical="bottom" wrapText="0"/>
    </xf>
    <xf borderId="0" fillId="0" fontId="10" numFmtId="0" xfId="0" applyAlignment="1" applyFont="1">
      <alignment readingOrder="0"/>
    </xf>
    <xf borderId="0" fillId="0" fontId="10"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horizontal="left" readingOrder="0"/>
    </xf>
    <xf borderId="0" fillId="0"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0"/>
    <col customWidth="1" min="2" max="4" width="24.0"/>
    <col customWidth="1" min="5" max="26" width="8.71"/>
  </cols>
  <sheetData>
    <row r="1" ht="15.75" customHeight="1">
      <c r="A1" s="1" t="s">
        <v>0</v>
      </c>
      <c r="B1" s="2"/>
      <c r="C1" s="2"/>
      <c r="D1" s="2"/>
    </row>
    <row r="2">
      <c r="A2" s="2"/>
      <c r="B2" s="2"/>
      <c r="C2" s="2"/>
      <c r="D2" s="2"/>
    </row>
    <row r="3" ht="15.0" customHeight="1">
      <c r="A3" s="3" t="s">
        <v>1</v>
      </c>
      <c r="B3" s="3" t="s">
        <v>2</v>
      </c>
      <c r="C3" s="3" t="s">
        <v>3</v>
      </c>
      <c r="D3" s="3" t="s">
        <v>4</v>
      </c>
    </row>
    <row r="4" ht="15.0" customHeight="1">
      <c r="A4" s="4" t="s">
        <v>5</v>
      </c>
      <c r="B4" s="5">
        <v>301.0</v>
      </c>
      <c r="C4" s="6">
        <v>23053.0</v>
      </c>
      <c r="D4" s="7">
        <f>C4/B4</f>
        <v>76.58803987</v>
      </c>
    </row>
    <row r="5" ht="15.0" customHeight="1">
      <c r="A5" s="4" t="s">
        <v>6</v>
      </c>
      <c r="B5" s="4"/>
      <c r="C5" s="6">
        <v>13696.0</v>
      </c>
      <c r="D5" s="4"/>
    </row>
    <row r="6" ht="15.0" customHeight="1">
      <c r="A6" s="4" t="s">
        <v>7</v>
      </c>
      <c r="B6" s="4"/>
      <c r="C6" s="8">
        <f>C4-C5</f>
        <v>9357</v>
      </c>
      <c r="D6" s="4"/>
    </row>
    <row r="7">
      <c r="A7" s="2"/>
      <c r="B7" s="2"/>
      <c r="C7" s="2"/>
      <c r="D7" s="2"/>
    </row>
    <row r="8" ht="15.0" customHeight="1">
      <c r="A8" s="9" t="s">
        <v>8</v>
      </c>
      <c r="B8" s="2"/>
      <c r="C8" s="2"/>
      <c r="D8" s="2"/>
    </row>
    <row r="9" ht="15.0" customHeight="1">
      <c r="A9" s="4" t="s">
        <v>9</v>
      </c>
      <c r="B9" s="2"/>
      <c r="C9" s="2"/>
      <c r="D9" s="2"/>
    </row>
    <row r="10" ht="15.0" customHeight="1">
      <c r="A10" s="4" t="s">
        <v>10</v>
      </c>
      <c r="B10" s="2"/>
      <c r="C10" s="2"/>
      <c r="D10" s="2"/>
    </row>
    <row r="11" ht="15.0" customHeight="1">
      <c r="A11" s="4" t="s">
        <v>11</v>
      </c>
      <c r="B11" s="2"/>
      <c r="C11" s="2"/>
      <c r="D11" s="2"/>
    </row>
    <row r="12" ht="15.0" customHeight="1">
      <c r="A12" s="4" t="s">
        <v>12</v>
      </c>
      <c r="B12" s="2"/>
      <c r="C12" s="2"/>
      <c r="D12" s="2"/>
    </row>
    <row r="13" ht="15.0" customHeight="1">
      <c r="A13" s="4" t="s">
        <v>13</v>
      </c>
      <c r="B13" s="2"/>
      <c r="C13" s="2"/>
      <c r="D13" s="2"/>
    </row>
    <row r="14" ht="15.0" customHeight="1">
      <c r="A14" s="4" t="s">
        <v>14</v>
      </c>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6.0"/>
    <col customWidth="1" min="3" max="3" width="9.0"/>
    <col customWidth="1" min="4" max="4" width="3.0"/>
    <col customWidth="1" min="5" max="6" width="8.0"/>
    <col customWidth="1" min="7" max="7" width="3.0"/>
    <col customWidth="1" min="8" max="8" width="52.0"/>
    <col customWidth="1" min="9" max="9" width="10.0"/>
    <col customWidth="1" min="10" max="26" width="8.71"/>
  </cols>
  <sheetData>
    <row r="1" ht="15.75" customHeight="1">
      <c r="A1" s="1" t="s">
        <v>15</v>
      </c>
      <c r="B1" s="2"/>
      <c r="C1" s="2"/>
      <c r="D1" s="2"/>
      <c r="E1" s="2"/>
      <c r="F1" s="2"/>
      <c r="G1" s="2"/>
      <c r="H1" s="2"/>
      <c r="I1" s="2"/>
    </row>
    <row r="2">
      <c r="A2" s="2"/>
      <c r="B2" s="2"/>
      <c r="C2" s="2"/>
      <c r="D2" s="2"/>
      <c r="E2" s="2"/>
      <c r="F2" s="2"/>
      <c r="G2" s="2"/>
      <c r="H2" s="2"/>
      <c r="I2" s="2"/>
    </row>
    <row r="3" ht="15.0" customHeight="1">
      <c r="A3" s="9" t="s">
        <v>16</v>
      </c>
      <c r="B3" s="2"/>
      <c r="C3" s="2"/>
      <c r="D3" s="2"/>
      <c r="E3" s="9" t="s">
        <v>17</v>
      </c>
      <c r="F3" s="2"/>
      <c r="G3" s="2"/>
      <c r="H3" s="9" t="s">
        <v>18</v>
      </c>
      <c r="I3" s="2"/>
    </row>
    <row r="4" ht="15.0" customHeight="1">
      <c r="A4" s="3" t="s">
        <v>19</v>
      </c>
      <c r="B4" s="3" t="s">
        <v>20</v>
      </c>
      <c r="C4" s="3" t="s">
        <v>21</v>
      </c>
      <c r="D4" s="2"/>
      <c r="E4" s="3" t="s">
        <v>22</v>
      </c>
      <c r="F4" s="3" t="s">
        <v>23</v>
      </c>
      <c r="G4" s="2"/>
      <c r="H4" s="4" t="s">
        <v>24</v>
      </c>
      <c r="I4" s="4">
        <f>COUNTA(E5:E15)</f>
        <v>11</v>
      </c>
    </row>
    <row r="5" ht="15.0" customHeight="1">
      <c r="A5" s="5" t="s">
        <v>25</v>
      </c>
      <c r="B5" s="5" t="s">
        <v>26</v>
      </c>
      <c r="C5" s="5" t="s">
        <v>27</v>
      </c>
      <c r="D5" s="2"/>
      <c r="E5" s="5" t="s">
        <v>25</v>
      </c>
      <c r="F5" s="5" t="s">
        <v>28</v>
      </c>
      <c r="G5" s="2"/>
      <c r="H5" s="4" t="s">
        <v>29</v>
      </c>
      <c r="I5" s="4">
        <f>COUNTA(A5:A13)</f>
        <v>9</v>
      </c>
    </row>
    <row r="6" ht="15.0" customHeight="1">
      <c r="A6" s="5" t="s">
        <v>28</v>
      </c>
      <c r="B6" s="5" t="s">
        <v>30</v>
      </c>
      <c r="C6" s="5" t="s">
        <v>31</v>
      </c>
      <c r="D6" s="2"/>
      <c r="E6" s="5" t="s">
        <v>25</v>
      </c>
      <c r="F6" s="5" t="s">
        <v>32</v>
      </c>
      <c r="G6" s="2"/>
      <c r="H6" s="4" t="s">
        <v>33</v>
      </c>
      <c r="I6" s="5">
        <v>1.0</v>
      </c>
    </row>
    <row r="7" ht="15.0" customHeight="1">
      <c r="A7" s="5" t="s">
        <v>32</v>
      </c>
      <c r="B7" s="5" t="s">
        <v>34</v>
      </c>
      <c r="C7" s="5" t="s">
        <v>35</v>
      </c>
      <c r="D7" s="2"/>
      <c r="E7" s="5" t="s">
        <v>28</v>
      </c>
      <c r="F7" s="5" t="s">
        <v>36</v>
      </c>
      <c r="G7" s="2"/>
      <c r="H7" s="9" t="s">
        <v>37</v>
      </c>
      <c r="I7" s="9">
        <f>I4-I5+2*I6</f>
        <v>4</v>
      </c>
    </row>
    <row r="8" ht="15.0" customHeight="1">
      <c r="A8" s="5" t="s">
        <v>38</v>
      </c>
      <c r="B8" s="5" t="s">
        <v>39</v>
      </c>
      <c r="C8" s="5" t="s">
        <v>35</v>
      </c>
      <c r="D8" s="2"/>
      <c r="E8" s="5" t="s">
        <v>32</v>
      </c>
      <c r="F8" s="5" t="s">
        <v>38</v>
      </c>
      <c r="G8" s="2"/>
      <c r="H8" s="4" t="s">
        <v>40</v>
      </c>
      <c r="I8" s="5">
        <v>4.0</v>
      </c>
    </row>
    <row r="9" ht="15.0" customHeight="1">
      <c r="A9" s="5" t="s">
        <v>41</v>
      </c>
      <c r="B9" s="5" t="s">
        <v>42</v>
      </c>
      <c r="C9" s="5" t="s">
        <v>43</v>
      </c>
      <c r="D9" s="2"/>
      <c r="E9" s="5" t="s">
        <v>38</v>
      </c>
      <c r="F9" s="5" t="s">
        <v>41</v>
      </c>
      <c r="G9" s="2"/>
      <c r="H9" s="2"/>
      <c r="I9" s="2"/>
    </row>
    <row r="10" ht="15.0" customHeight="1">
      <c r="A10" s="5" t="s">
        <v>44</v>
      </c>
      <c r="B10" s="5" t="s">
        <v>45</v>
      </c>
      <c r="C10" s="5" t="s">
        <v>46</v>
      </c>
      <c r="D10" s="2"/>
      <c r="E10" s="5" t="s">
        <v>38</v>
      </c>
      <c r="F10" s="5" t="s">
        <v>47</v>
      </c>
      <c r="G10" s="2"/>
      <c r="H10" s="4" t="s">
        <v>48</v>
      </c>
      <c r="I10" s="4">
        <f>I7-I8</f>
        <v>0</v>
      </c>
    </row>
    <row r="11" ht="15.0" customHeight="1">
      <c r="A11" s="5" t="s">
        <v>49</v>
      </c>
      <c r="B11" s="5" t="s">
        <v>50</v>
      </c>
      <c r="C11" s="5" t="s">
        <v>35</v>
      </c>
      <c r="D11" s="2"/>
      <c r="E11" s="5" t="s">
        <v>41</v>
      </c>
      <c r="F11" s="5" t="s">
        <v>44</v>
      </c>
      <c r="G11" s="2"/>
      <c r="H11" s="2"/>
      <c r="I11" s="2"/>
    </row>
    <row r="12" ht="15.0" customHeight="1">
      <c r="A12" s="5" t="s">
        <v>47</v>
      </c>
      <c r="B12" s="5" t="s">
        <v>51</v>
      </c>
      <c r="C12" s="5" t="s">
        <v>52</v>
      </c>
      <c r="D12" s="2"/>
      <c r="E12" s="5" t="s">
        <v>41</v>
      </c>
      <c r="F12" s="5" t="s">
        <v>49</v>
      </c>
      <c r="G12" s="2"/>
      <c r="H12" s="9" t="s">
        <v>53</v>
      </c>
      <c r="I12" s="2"/>
    </row>
    <row r="13" ht="15.0" customHeight="1">
      <c r="A13" s="5" t="s">
        <v>36</v>
      </c>
      <c r="B13" s="5" t="s">
        <v>54</v>
      </c>
      <c r="C13" s="5" t="s">
        <v>55</v>
      </c>
      <c r="D13" s="2"/>
      <c r="E13" s="5" t="s">
        <v>44</v>
      </c>
      <c r="F13" s="5" t="s">
        <v>49</v>
      </c>
      <c r="G13" s="2"/>
      <c r="H13" s="4" t="s">
        <v>56</v>
      </c>
      <c r="I13" s="2"/>
    </row>
    <row r="14" ht="15.0" customHeight="1">
      <c r="A14" s="2"/>
      <c r="B14" s="2"/>
      <c r="C14" s="2"/>
      <c r="D14" s="2"/>
      <c r="E14" s="5" t="s">
        <v>49</v>
      </c>
      <c r="F14" s="5" t="s">
        <v>38</v>
      </c>
      <c r="G14" s="2"/>
      <c r="H14" s="4" t="s">
        <v>57</v>
      </c>
      <c r="I14" s="2"/>
    </row>
    <row r="15" ht="15.0" customHeight="1">
      <c r="A15" s="2"/>
      <c r="B15" s="2"/>
      <c r="C15" s="2"/>
      <c r="D15" s="2"/>
      <c r="E15" s="5" t="s">
        <v>47</v>
      </c>
      <c r="F15" s="5" t="s">
        <v>36</v>
      </c>
      <c r="G15" s="2"/>
      <c r="H15" s="4" t="s">
        <v>58</v>
      </c>
      <c r="I15" s="2"/>
    </row>
    <row r="16" ht="15.0" customHeight="1">
      <c r="A16" s="2"/>
      <c r="B16" s="2"/>
      <c r="C16" s="2"/>
      <c r="D16" s="2"/>
      <c r="E16" s="2"/>
      <c r="F16" s="2"/>
      <c r="G16" s="2"/>
      <c r="H16" s="4" t="s">
        <v>59</v>
      </c>
      <c r="I16" s="2"/>
    </row>
    <row r="17">
      <c r="A17" s="2"/>
      <c r="B17" s="2"/>
      <c r="C17" s="2"/>
      <c r="D17" s="2"/>
      <c r="E17" s="2"/>
      <c r="F17" s="2"/>
      <c r="G17" s="2"/>
      <c r="H17" s="2"/>
      <c r="I17" s="2"/>
    </row>
    <row r="18">
      <c r="A18" s="2"/>
      <c r="B18" s="2"/>
      <c r="C18" s="2"/>
      <c r="D18" s="2"/>
      <c r="E18" s="2"/>
      <c r="F18" s="2"/>
      <c r="G18" s="2"/>
      <c r="H18" s="2"/>
      <c r="I18" s="2"/>
    </row>
    <row r="19">
      <c r="A19" s="2"/>
      <c r="B19" s="2"/>
      <c r="C19" s="2"/>
      <c r="D19" s="2"/>
      <c r="E19" s="2"/>
      <c r="F19" s="2"/>
      <c r="G19" s="2"/>
      <c r="H19" s="2"/>
      <c r="I19" s="2"/>
    </row>
    <row r="20">
      <c r="A20" s="2"/>
      <c r="B20" s="2"/>
      <c r="C20" s="2"/>
      <c r="D20" s="2"/>
      <c r="E20" s="2"/>
      <c r="F20" s="2"/>
      <c r="G20" s="2"/>
      <c r="H20" s="2"/>
      <c r="I20" s="2"/>
    </row>
    <row r="21" ht="15.75" customHeight="1">
      <c r="A21" s="2"/>
      <c r="B21" s="2"/>
      <c r="C21" s="2"/>
      <c r="D21" s="2"/>
      <c r="E21" s="2"/>
      <c r="F21" s="2"/>
      <c r="G21" s="2"/>
      <c r="H21" s="2"/>
      <c r="I21" s="2"/>
    </row>
    <row r="22" ht="15.75" customHeight="1">
      <c r="A22" s="2"/>
      <c r="B22" s="2"/>
      <c r="C22" s="2"/>
      <c r="D22" s="2"/>
      <c r="E22" s="2"/>
      <c r="F22" s="2"/>
      <c r="G22" s="2"/>
      <c r="H22" s="2"/>
      <c r="I22" s="2"/>
    </row>
    <row r="23" ht="15.75" customHeight="1">
      <c r="A23" s="2"/>
      <c r="B23" s="2"/>
      <c r="C23" s="2"/>
      <c r="D23" s="2"/>
      <c r="E23" s="2"/>
      <c r="F23" s="2"/>
      <c r="G23" s="2"/>
      <c r="H23" s="2"/>
      <c r="I23" s="2"/>
    </row>
    <row r="24" ht="15.75" customHeight="1">
      <c r="A24" s="2"/>
      <c r="B24" s="2"/>
      <c r="C24" s="2"/>
      <c r="D24" s="2"/>
      <c r="E24" s="2"/>
      <c r="F24" s="2"/>
      <c r="G24" s="2"/>
      <c r="H24" s="2"/>
      <c r="I24" s="2"/>
    </row>
    <row r="25" ht="15.75" customHeight="1">
      <c r="A25" s="2"/>
      <c r="B25" s="2"/>
      <c r="C25" s="2"/>
      <c r="D25" s="2"/>
      <c r="E25" s="2"/>
      <c r="F25" s="2"/>
      <c r="G25" s="2"/>
      <c r="H25" s="2"/>
      <c r="I25" s="2"/>
    </row>
    <row r="26" ht="15.75" customHeight="1">
      <c r="A26" s="2"/>
      <c r="B26" s="2"/>
      <c r="C26" s="2"/>
      <c r="D26" s="2"/>
      <c r="E26" s="2"/>
      <c r="F26" s="2"/>
      <c r="G26" s="2"/>
      <c r="H26" s="2"/>
      <c r="I26" s="2"/>
    </row>
    <row r="27" ht="15.75" customHeight="1">
      <c r="A27" s="2"/>
      <c r="B27" s="2"/>
      <c r="C27" s="2"/>
      <c r="D27" s="2"/>
      <c r="E27" s="2"/>
      <c r="F27" s="2"/>
      <c r="G27" s="2"/>
      <c r="H27" s="2"/>
      <c r="I27" s="2"/>
    </row>
    <row r="28" ht="15.75" customHeight="1">
      <c r="A28" s="2"/>
      <c r="B28" s="2"/>
      <c r="C28" s="2"/>
      <c r="D28" s="2"/>
      <c r="E28" s="2"/>
      <c r="F28" s="2"/>
      <c r="G28" s="2"/>
      <c r="H28" s="2"/>
      <c r="I28" s="2"/>
    </row>
    <row r="29" ht="15.75" customHeight="1">
      <c r="A29" s="2"/>
      <c r="B29" s="2"/>
      <c r="C29" s="2"/>
      <c r="D29" s="2"/>
      <c r="E29" s="2"/>
      <c r="F29" s="2"/>
      <c r="G29" s="2"/>
      <c r="H29" s="2"/>
      <c r="I29" s="2"/>
    </row>
    <row r="30" ht="15.75" customHeight="1">
      <c r="A30" s="2"/>
      <c r="B30" s="2"/>
      <c r="C30" s="2"/>
      <c r="D30" s="2"/>
      <c r="E30" s="2"/>
      <c r="F30" s="2"/>
      <c r="G30" s="2"/>
      <c r="H30" s="2"/>
      <c r="I30" s="2"/>
    </row>
    <row r="31" ht="15.75" customHeight="1">
      <c r="A31" s="2"/>
      <c r="B31" s="2"/>
      <c r="C31" s="2"/>
      <c r="D31" s="2"/>
      <c r="E31" s="2"/>
      <c r="F31" s="2"/>
      <c r="G31" s="2"/>
      <c r="H31" s="2"/>
      <c r="I31" s="2"/>
    </row>
    <row r="32" ht="15.75" customHeight="1">
      <c r="A32" s="2"/>
      <c r="B32" s="2"/>
      <c r="C32" s="2"/>
      <c r="D32" s="2"/>
      <c r="E32" s="2"/>
      <c r="F32" s="2"/>
      <c r="G32" s="2"/>
      <c r="H32" s="2"/>
      <c r="I32" s="2"/>
    </row>
    <row r="33" ht="15.75" customHeight="1">
      <c r="A33" s="2"/>
      <c r="B33" s="2"/>
      <c r="C33" s="2"/>
      <c r="D33" s="2"/>
      <c r="E33" s="2"/>
      <c r="F33" s="2"/>
      <c r="G33" s="2"/>
      <c r="H33" s="2"/>
      <c r="I33" s="2"/>
    </row>
    <row r="34" ht="15.75" customHeight="1">
      <c r="A34" s="2"/>
      <c r="B34" s="2"/>
      <c r="C34" s="2"/>
      <c r="D34" s="2"/>
      <c r="E34" s="2"/>
      <c r="F34" s="2"/>
      <c r="G34" s="2"/>
      <c r="H34" s="2"/>
      <c r="I34" s="2"/>
    </row>
    <row r="35" ht="15.75" customHeight="1">
      <c r="A35" s="2"/>
      <c r="B35" s="2"/>
      <c r="C35" s="2"/>
      <c r="D35" s="2"/>
      <c r="E35" s="2"/>
      <c r="F35" s="2"/>
      <c r="G35" s="2"/>
      <c r="H35" s="2"/>
      <c r="I35" s="2"/>
    </row>
    <row r="36" ht="15.75" customHeight="1">
      <c r="A36" s="2"/>
      <c r="B36" s="2"/>
      <c r="C36" s="2"/>
      <c r="D36" s="2"/>
      <c r="E36" s="2"/>
      <c r="F36" s="2"/>
      <c r="G36" s="2"/>
      <c r="H36" s="2"/>
      <c r="I36" s="2"/>
    </row>
    <row r="37" ht="15.75" customHeight="1">
      <c r="A37" s="2"/>
      <c r="B37" s="2"/>
      <c r="C37" s="2"/>
      <c r="D37" s="2"/>
      <c r="E37" s="2"/>
      <c r="F37" s="2"/>
      <c r="G37" s="2"/>
      <c r="H37" s="2"/>
      <c r="I37" s="2"/>
    </row>
    <row r="38" ht="15.75" customHeight="1">
      <c r="A38" s="2"/>
      <c r="B38" s="2"/>
      <c r="C38" s="2"/>
      <c r="D38" s="2"/>
      <c r="E38" s="2"/>
      <c r="F38" s="2"/>
      <c r="G38" s="2"/>
      <c r="H38" s="2"/>
      <c r="I38" s="2"/>
    </row>
    <row r="39" ht="15.75" customHeight="1">
      <c r="A39" s="2"/>
      <c r="B39" s="2"/>
      <c r="C39" s="2"/>
      <c r="D39" s="2"/>
      <c r="E39" s="2"/>
      <c r="F39" s="2"/>
      <c r="G39" s="2"/>
      <c r="H39" s="2"/>
      <c r="I39" s="2"/>
    </row>
    <row r="40" ht="15.75" customHeight="1">
      <c r="A40" s="2"/>
      <c r="B40" s="2"/>
      <c r="C40" s="2"/>
      <c r="D40" s="2"/>
      <c r="E40" s="2"/>
      <c r="F40" s="2"/>
      <c r="G40" s="2"/>
      <c r="H40" s="2"/>
      <c r="I40" s="2"/>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3.0"/>
    <col customWidth="1" min="3" max="3" width="3.0"/>
    <col customWidth="1" min="4" max="4" width="12.0"/>
    <col customWidth="1" min="5" max="5" width="13.0"/>
    <col customWidth="1" min="6" max="6" width="3.0"/>
    <col customWidth="1" min="7" max="7" width="40.0"/>
    <col customWidth="1" min="8" max="8" width="14.0"/>
    <col customWidth="1" min="9" max="26" width="8.71"/>
  </cols>
  <sheetData>
    <row r="1" ht="15.75" customHeight="1">
      <c r="A1" s="1" t="s">
        <v>60</v>
      </c>
      <c r="B1" s="2"/>
      <c r="C1" s="2"/>
      <c r="D1" s="2"/>
      <c r="E1" s="2"/>
      <c r="F1" s="2"/>
      <c r="G1" s="2"/>
      <c r="H1" s="2"/>
    </row>
    <row r="2">
      <c r="A2" s="2"/>
      <c r="B2" s="2"/>
      <c r="C2" s="2"/>
      <c r="D2" s="2"/>
      <c r="E2" s="2"/>
      <c r="F2" s="2"/>
      <c r="G2" s="2"/>
      <c r="H2" s="2"/>
    </row>
    <row r="3" ht="15.0" customHeight="1">
      <c r="A3" s="9" t="s">
        <v>61</v>
      </c>
      <c r="B3" s="2"/>
      <c r="C3" s="2"/>
      <c r="D3" s="9" t="s">
        <v>62</v>
      </c>
      <c r="E3" s="2"/>
      <c r="F3" s="2"/>
      <c r="G3" s="9" t="s">
        <v>63</v>
      </c>
      <c r="H3" s="2"/>
    </row>
    <row r="4" ht="15.0" customHeight="1">
      <c r="A4" s="3" t="s">
        <v>64</v>
      </c>
      <c r="B4" s="3" t="s">
        <v>65</v>
      </c>
      <c r="C4" s="2"/>
      <c r="D4" s="3" t="s">
        <v>66</v>
      </c>
      <c r="E4" s="3" t="s">
        <v>65</v>
      </c>
      <c r="F4" s="2"/>
      <c r="G4" s="4" t="s">
        <v>67</v>
      </c>
      <c r="H4" s="4">
        <f>COUNTA(A5:A21)</f>
        <v>17</v>
      </c>
    </row>
    <row r="5" ht="15.0" customHeight="1">
      <c r="A5" s="5" t="s">
        <v>68</v>
      </c>
      <c r="B5" s="5">
        <v>1.0</v>
      </c>
      <c r="C5" s="2"/>
      <c r="D5" s="5" t="s">
        <v>69</v>
      </c>
      <c r="E5" s="5">
        <v>3.0</v>
      </c>
      <c r="F5" s="2"/>
      <c r="G5" s="4" t="s">
        <v>70</v>
      </c>
      <c r="H5" s="4">
        <f>SUM(B5:B21)</f>
        <v>48</v>
      </c>
    </row>
    <row r="6" ht="15.0" customHeight="1">
      <c r="A6" s="5" t="s">
        <v>71</v>
      </c>
      <c r="B6" s="5">
        <v>8.0</v>
      </c>
      <c r="C6" s="2"/>
      <c r="D6" s="5" t="s">
        <v>72</v>
      </c>
      <c r="E6" s="5">
        <v>2.0</v>
      </c>
      <c r="F6" s="2"/>
      <c r="G6" s="4" t="s">
        <v>73</v>
      </c>
      <c r="H6" s="4">
        <f>COUNTA(D5:D12)</f>
        <v>8</v>
      </c>
    </row>
    <row r="7" ht="15.0" customHeight="1">
      <c r="A7" s="5" t="s">
        <v>74</v>
      </c>
      <c r="B7" s="5">
        <v>3.0</v>
      </c>
      <c r="C7" s="2"/>
      <c r="D7" s="5" t="s">
        <v>75</v>
      </c>
      <c r="E7" s="5">
        <v>7.0</v>
      </c>
      <c r="F7" s="2"/>
      <c r="G7" s="4" t="s">
        <v>76</v>
      </c>
      <c r="H7" s="4">
        <f>SUM(E5:E12)</f>
        <v>36</v>
      </c>
    </row>
    <row r="8" ht="15.0" customHeight="1">
      <c r="A8" s="5" t="s">
        <v>77</v>
      </c>
      <c r="B8" s="5">
        <v>1.0</v>
      </c>
      <c r="C8" s="2"/>
      <c r="D8" s="5" t="s">
        <v>78</v>
      </c>
      <c r="E8" s="5">
        <v>4.0</v>
      </c>
      <c r="F8" s="2"/>
      <c r="G8" s="4" t="s">
        <v>79</v>
      </c>
      <c r="H8" s="4">
        <f>H5+H7</f>
        <v>84</v>
      </c>
    </row>
    <row r="9" ht="15.0" customHeight="1">
      <c r="A9" s="5" t="s">
        <v>80</v>
      </c>
      <c r="B9" s="5">
        <v>9.0</v>
      </c>
      <c r="C9" s="2"/>
      <c r="D9" s="5" t="s">
        <v>81</v>
      </c>
      <c r="E9" s="5">
        <v>6.0</v>
      </c>
      <c r="F9" s="2"/>
      <c r="G9" s="4" t="s">
        <v>82</v>
      </c>
      <c r="H9" s="4">
        <f>H4+H6</f>
        <v>25</v>
      </c>
    </row>
    <row r="10" ht="15.0" customHeight="1">
      <c r="A10" s="5" t="s">
        <v>83</v>
      </c>
      <c r="B10" s="5">
        <v>1.0</v>
      </c>
      <c r="C10" s="2"/>
      <c r="D10" s="5" t="s">
        <v>84</v>
      </c>
      <c r="E10" s="5">
        <v>7.0</v>
      </c>
      <c r="F10" s="2"/>
      <c r="G10" s="4" t="s">
        <v>85</v>
      </c>
      <c r="H10" s="10">
        <f>H8*LOG(H9,2)</f>
        <v>390.0839199</v>
      </c>
    </row>
    <row r="11" ht="15.0" customHeight="1">
      <c r="A11" s="5" t="s">
        <v>86</v>
      </c>
      <c r="B11" s="5">
        <v>8.0</v>
      </c>
      <c r="C11" s="2"/>
      <c r="D11" s="5" t="s">
        <v>87</v>
      </c>
      <c r="E11" s="5">
        <v>3.0</v>
      </c>
      <c r="F11" s="2"/>
      <c r="G11" s="4" t="s">
        <v>88</v>
      </c>
      <c r="H11" s="10">
        <f>(H4/2)*(H7/H6)</f>
        <v>38.25</v>
      </c>
    </row>
    <row r="12" ht="15.0" customHeight="1">
      <c r="A12" s="5" t="s">
        <v>89</v>
      </c>
      <c r="B12" s="5">
        <v>2.0</v>
      </c>
      <c r="C12" s="2"/>
      <c r="D12" s="5" t="s">
        <v>90</v>
      </c>
      <c r="E12" s="5">
        <v>4.0</v>
      </c>
      <c r="F12" s="2"/>
      <c r="G12" s="4" t="s">
        <v>91</v>
      </c>
      <c r="H12" s="11">
        <f>H11*H10</f>
        <v>14920.70994</v>
      </c>
    </row>
    <row r="13" ht="15.0" customHeight="1">
      <c r="A13" s="5" t="s">
        <v>92</v>
      </c>
      <c r="B13" s="5">
        <v>1.0</v>
      </c>
      <c r="C13" s="2"/>
      <c r="D13" s="2"/>
      <c r="E13" s="2"/>
      <c r="F13" s="2"/>
      <c r="G13" s="2"/>
      <c r="H13" s="2"/>
    </row>
    <row r="14" ht="15.0" customHeight="1">
      <c r="A14" s="5" t="s">
        <v>30</v>
      </c>
      <c r="B14" s="5">
        <v>1.0</v>
      </c>
      <c r="C14" s="2"/>
      <c r="D14" s="2"/>
      <c r="E14" s="2"/>
      <c r="F14" s="2"/>
      <c r="G14" s="9" t="s">
        <v>93</v>
      </c>
      <c r="H14" s="2"/>
    </row>
    <row r="15" ht="15.0" customHeight="1">
      <c r="A15" s="5" t="s">
        <v>94</v>
      </c>
      <c r="B15" s="5">
        <v>1.0</v>
      </c>
      <c r="C15" s="2"/>
      <c r="D15" s="2"/>
      <c r="E15" s="2"/>
      <c r="F15" s="2"/>
      <c r="G15" s="4" t="s">
        <v>95</v>
      </c>
      <c r="H15" s="2"/>
    </row>
    <row r="16" ht="15.0" customHeight="1">
      <c r="A16" s="5" t="s">
        <v>96</v>
      </c>
      <c r="B16" s="5">
        <v>2.0</v>
      </c>
      <c r="C16" s="2"/>
      <c r="D16" s="2"/>
      <c r="E16" s="2"/>
      <c r="F16" s="2"/>
      <c r="G16" s="4" t="s">
        <v>97</v>
      </c>
      <c r="H16" s="2"/>
    </row>
    <row r="17" ht="15.0" customHeight="1">
      <c r="A17" s="5" t="s">
        <v>98</v>
      </c>
      <c r="B17" s="5">
        <v>2.0</v>
      </c>
      <c r="C17" s="2"/>
      <c r="D17" s="2"/>
      <c r="E17" s="2"/>
      <c r="F17" s="2"/>
      <c r="G17" s="4" t="s">
        <v>99</v>
      </c>
      <c r="H17" s="2"/>
    </row>
    <row r="18" ht="15.0" customHeight="1">
      <c r="A18" s="5" t="s">
        <v>100</v>
      </c>
      <c r="B18" s="5">
        <v>2.0</v>
      </c>
      <c r="C18" s="2"/>
      <c r="D18" s="2"/>
      <c r="E18" s="2"/>
      <c r="F18" s="2"/>
      <c r="G18" s="4" t="s">
        <v>101</v>
      </c>
      <c r="H18" s="2"/>
    </row>
    <row r="19" ht="15.0" customHeight="1">
      <c r="A19" s="5" t="s">
        <v>102</v>
      </c>
      <c r="B19" s="5">
        <v>2.0</v>
      </c>
      <c r="C19" s="2"/>
      <c r="D19" s="2"/>
      <c r="E19" s="2"/>
      <c r="F19" s="2"/>
      <c r="G19" s="4" t="s">
        <v>103</v>
      </c>
      <c r="H19" s="2"/>
    </row>
    <row r="20" ht="15.0" customHeight="1">
      <c r="A20" s="5" t="s">
        <v>104</v>
      </c>
      <c r="B20" s="5">
        <v>2.0</v>
      </c>
      <c r="C20" s="2"/>
      <c r="D20" s="2"/>
      <c r="E20" s="2"/>
      <c r="F20" s="2"/>
      <c r="G20" s="4" t="s">
        <v>59</v>
      </c>
      <c r="H20" s="2"/>
    </row>
    <row r="21" ht="15.0" customHeight="1">
      <c r="A21" s="5" t="s">
        <v>105</v>
      </c>
      <c r="B21" s="5">
        <v>2.0</v>
      </c>
      <c r="C21" s="2"/>
      <c r="D21" s="2"/>
      <c r="E21" s="2"/>
      <c r="F21" s="2"/>
      <c r="G21" s="2"/>
      <c r="H21" s="2"/>
    </row>
    <row r="22" ht="15.75" customHeight="1">
      <c r="A22" s="12" t="s">
        <v>106</v>
      </c>
    </row>
    <row r="23" ht="15.75" customHeight="1">
      <c r="A23" s="13"/>
      <c r="B23" s="14"/>
      <c r="C23" s="14"/>
      <c r="D23" s="14"/>
      <c r="E23" s="14"/>
      <c r="F23" s="14"/>
      <c r="G23" s="14"/>
      <c r="H23" s="15"/>
    </row>
    <row r="24" ht="63.75" customHeight="1">
      <c r="A24" s="16" t="s">
        <v>107</v>
      </c>
    </row>
    <row r="25" ht="36.0" customHeight="1">
      <c r="A25" s="16" t="s">
        <v>108</v>
      </c>
    </row>
    <row r="26" ht="27.75" customHeight="1"/>
    <row r="27" ht="15.75" customHeight="1"/>
    <row r="28" ht="30.0" customHeight="1"/>
    <row r="29" ht="15.75" customHeight="1"/>
    <row r="30" ht="24.75" customHeight="1"/>
    <row r="31" ht="15.75" customHeight="1"/>
    <row r="32" ht="16.5" customHeight="1">
      <c r="A32" s="17"/>
      <c r="B32" s="17"/>
      <c r="C32" s="17"/>
      <c r="D32" s="17"/>
      <c r="E32" s="17"/>
      <c r="F32" s="17"/>
      <c r="G32" s="17"/>
      <c r="H32" s="17"/>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4">
    <mergeCell ref="A22:H22"/>
    <mergeCell ref="A23:H23"/>
    <mergeCell ref="A24:H24"/>
    <mergeCell ref="A25:H25"/>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16.86"/>
    <col customWidth="1" min="8" max="8" width="20.86"/>
    <col customWidth="1" min="9" max="9" width="18.43"/>
  </cols>
  <sheetData>
    <row r="1">
      <c r="A1" s="1" t="s">
        <v>109</v>
      </c>
      <c r="B1" s="2"/>
      <c r="C1" s="2"/>
      <c r="D1" s="2"/>
    </row>
    <row r="3">
      <c r="A3" s="18" t="s">
        <v>110</v>
      </c>
      <c r="B3" s="18" t="s">
        <v>111</v>
      </c>
      <c r="C3" s="18" t="s">
        <v>112</v>
      </c>
      <c r="G3" s="19" t="s">
        <v>110</v>
      </c>
      <c r="H3" s="19" t="s">
        <v>113</v>
      </c>
      <c r="I3" s="19" t="s">
        <v>114</v>
      </c>
      <c r="K3" s="18" t="s">
        <v>110</v>
      </c>
      <c r="L3" s="18" t="s">
        <v>111</v>
      </c>
      <c r="M3" s="18" t="s">
        <v>112</v>
      </c>
    </row>
    <row r="4">
      <c r="A4" s="20" t="s">
        <v>115</v>
      </c>
      <c r="B4" s="20" t="s">
        <v>116</v>
      </c>
      <c r="C4" s="20">
        <v>30.0</v>
      </c>
      <c r="G4" s="20" t="s">
        <v>115</v>
      </c>
      <c r="H4" s="20" t="s">
        <v>117</v>
      </c>
      <c r="I4" s="20" t="s">
        <v>118</v>
      </c>
      <c r="K4" s="20" t="s">
        <v>115</v>
      </c>
      <c r="L4" s="20" t="s">
        <v>119</v>
      </c>
      <c r="M4" s="20">
        <v>3.0</v>
      </c>
    </row>
    <row r="5">
      <c r="A5" s="20" t="s">
        <v>120</v>
      </c>
      <c r="B5" s="20" t="s">
        <v>121</v>
      </c>
      <c r="C5" s="20">
        <v>17.0</v>
      </c>
      <c r="G5" s="20" t="s">
        <v>120</v>
      </c>
      <c r="H5" s="20" t="s">
        <v>122</v>
      </c>
      <c r="I5" s="20" t="s">
        <v>123</v>
      </c>
      <c r="K5" s="20" t="s">
        <v>120</v>
      </c>
      <c r="L5" s="20" t="s">
        <v>124</v>
      </c>
      <c r="M5" s="20">
        <v>3.0</v>
      </c>
    </row>
    <row r="6">
      <c r="A6" s="20" t="s">
        <v>125</v>
      </c>
      <c r="B6" s="20" t="s">
        <v>126</v>
      </c>
      <c r="C6" s="20">
        <v>21.0</v>
      </c>
      <c r="G6" s="20" t="s">
        <v>125</v>
      </c>
      <c r="H6" s="20" t="s">
        <v>117</v>
      </c>
      <c r="I6" s="20" t="s">
        <v>127</v>
      </c>
      <c r="K6" s="20" t="s">
        <v>125</v>
      </c>
      <c r="L6" s="20" t="s">
        <v>128</v>
      </c>
      <c r="M6" s="20">
        <v>0.0</v>
      </c>
    </row>
    <row r="7">
      <c r="A7" s="20" t="s">
        <v>129</v>
      </c>
      <c r="B7" s="20" t="s">
        <v>130</v>
      </c>
      <c r="C7" s="20">
        <v>21.0</v>
      </c>
      <c r="G7" s="20" t="s">
        <v>129</v>
      </c>
      <c r="H7" s="20" t="s">
        <v>131</v>
      </c>
      <c r="I7" s="20" t="s">
        <v>127</v>
      </c>
      <c r="K7" s="20" t="s">
        <v>129</v>
      </c>
      <c r="L7" s="20" t="s">
        <v>132</v>
      </c>
      <c r="M7" s="20">
        <v>0.0</v>
      </c>
    </row>
    <row r="8">
      <c r="A8" s="20" t="s">
        <v>133</v>
      </c>
      <c r="B8" s="20" t="s">
        <v>134</v>
      </c>
      <c r="C8" s="20">
        <v>55.0</v>
      </c>
      <c r="G8" s="20" t="s">
        <v>133</v>
      </c>
      <c r="H8" s="20" t="s">
        <v>135</v>
      </c>
      <c r="I8" s="20" t="s">
        <v>127</v>
      </c>
      <c r="K8" s="20" t="s">
        <v>133</v>
      </c>
      <c r="L8" s="20" t="s">
        <v>136</v>
      </c>
      <c r="M8" s="20">
        <v>0.0</v>
      </c>
    </row>
    <row r="9">
      <c r="A9" s="21" t="s">
        <v>137</v>
      </c>
      <c r="B9" s="22"/>
      <c r="C9" s="23">
        <v>144.0</v>
      </c>
      <c r="G9" s="21"/>
      <c r="H9" s="22"/>
      <c r="I9" s="23"/>
      <c r="K9" s="21" t="s">
        <v>137</v>
      </c>
      <c r="L9" s="22"/>
      <c r="M9" s="23">
        <v>6.0</v>
      </c>
    </row>
    <row r="10">
      <c r="A10" s="24"/>
      <c r="B10" s="24"/>
      <c r="C10" s="24"/>
    </row>
    <row r="11">
      <c r="A11" s="16" t="s">
        <v>138</v>
      </c>
    </row>
    <row r="12">
      <c r="A12" s="24"/>
      <c r="B12" s="24"/>
      <c r="C12" s="24"/>
    </row>
    <row r="13">
      <c r="A13" s="24"/>
      <c r="B13" s="24"/>
      <c r="C13" s="24"/>
    </row>
    <row r="14">
      <c r="A14" s="24"/>
      <c r="B14" s="24"/>
      <c r="C14" s="24"/>
    </row>
    <row r="15">
      <c r="A15" s="24"/>
      <c r="B15" s="24"/>
      <c r="C15" s="24"/>
    </row>
  </sheetData>
  <mergeCells count="1">
    <mergeCell ref="A11:F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139</v>
      </c>
    </row>
    <row r="7">
      <c r="A7" s="25" t="s">
        <v>111</v>
      </c>
      <c r="B7" s="14"/>
      <c r="C7" s="14"/>
      <c r="D7" s="14"/>
      <c r="E7" s="14"/>
      <c r="F7" s="14"/>
      <c r="G7" s="14"/>
      <c r="H7" s="15"/>
    </row>
    <row r="9">
      <c r="A9" s="26" t="s">
        <v>140</v>
      </c>
      <c r="F9" s="26" t="s">
        <v>141</v>
      </c>
      <c r="J9" s="26">
        <v>390.08</v>
      </c>
    </row>
    <row r="10">
      <c r="F10" s="26" t="s">
        <v>142</v>
      </c>
      <c r="J10" s="26">
        <v>4.0</v>
      </c>
    </row>
    <row r="11">
      <c r="F11" s="26" t="s">
        <v>143</v>
      </c>
      <c r="J11" s="26">
        <v>12.0</v>
      </c>
    </row>
    <row r="12">
      <c r="F12" s="26" t="s">
        <v>144</v>
      </c>
      <c r="J12" s="26">
        <v>0.0</v>
      </c>
    </row>
    <row r="16">
      <c r="A16" s="26" t="s">
        <v>145</v>
      </c>
    </row>
    <row r="20">
      <c r="A20" s="25" t="s">
        <v>146</v>
      </c>
      <c r="B20" s="14"/>
      <c r="C20" s="14"/>
      <c r="D20" s="14"/>
      <c r="E20" s="14"/>
      <c r="F20" s="14"/>
      <c r="G20" s="14"/>
      <c r="H20" s="15"/>
    </row>
    <row r="23">
      <c r="A23" s="26" t="s">
        <v>140</v>
      </c>
      <c r="F23" s="26" t="s">
        <v>141</v>
      </c>
      <c r="J23" s="26">
        <v>390.08</v>
      </c>
    </row>
    <row r="24">
      <c r="F24" s="26" t="s">
        <v>142</v>
      </c>
      <c r="J24" s="26">
        <v>4.0</v>
      </c>
    </row>
    <row r="25">
      <c r="F25" s="26" t="s">
        <v>143</v>
      </c>
      <c r="J25" s="26">
        <v>12.0</v>
      </c>
    </row>
    <row r="26">
      <c r="F26" s="26" t="s">
        <v>144</v>
      </c>
      <c r="J26" s="26" t="s">
        <v>147</v>
      </c>
    </row>
    <row r="30">
      <c r="A30" s="26" t="s">
        <v>148</v>
      </c>
      <c r="I30" s="26" t="s">
        <v>149</v>
      </c>
    </row>
    <row r="33">
      <c r="A33" s="26" t="s">
        <v>150</v>
      </c>
    </row>
  </sheetData>
  <mergeCells count="8">
    <mergeCell ref="A1:F1"/>
    <mergeCell ref="A7:H7"/>
    <mergeCell ref="A9:D9"/>
    <mergeCell ref="A16:F16"/>
    <mergeCell ref="A20:H20"/>
    <mergeCell ref="A23:D23"/>
    <mergeCell ref="A30:H30"/>
    <mergeCell ref="A33:E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20.29"/>
    <col customWidth="1" min="4" max="4" width="18.14"/>
  </cols>
  <sheetData>
    <row r="1">
      <c r="A1" s="1" t="s">
        <v>151</v>
      </c>
    </row>
    <row r="7">
      <c r="A7" s="18" t="s">
        <v>152</v>
      </c>
      <c r="B7" s="18" t="s">
        <v>153</v>
      </c>
      <c r="C7" s="18" t="s">
        <v>154</v>
      </c>
      <c r="D7" s="18" t="s">
        <v>155</v>
      </c>
      <c r="E7" s="18" t="s">
        <v>156</v>
      </c>
    </row>
    <row r="8">
      <c r="A8" s="27">
        <v>1.0</v>
      </c>
      <c r="B8" s="27" t="s">
        <v>157</v>
      </c>
      <c r="C8" s="27">
        <v>3.0</v>
      </c>
      <c r="D8" s="27" t="s">
        <v>158</v>
      </c>
      <c r="E8" s="27" t="s">
        <v>159</v>
      </c>
    </row>
    <row r="9">
      <c r="A9" s="27">
        <v>2.0</v>
      </c>
      <c r="B9" s="27" t="s">
        <v>160</v>
      </c>
      <c r="C9" s="27">
        <v>2.0</v>
      </c>
      <c r="D9" s="27" t="s">
        <v>161</v>
      </c>
      <c r="E9" s="27" t="s">
        <v>162</v>
      </c>
    </row>
    <row r="10">
      <c r="A10" s="27">
        <v>3.0</v>
      </c>
      <c r="B10" s="27" t="s">
        <v>163</v>
      </c>
      <c r="C10" s="27">
        <v>2.0</v>
      </c>
      <c r="D10" s="27" t="s">
        <v>164</v>
      </c>
      <c r="E10" s="27" t="s">
        <v>165</v>
      </c>
    </row>
    <row r="11">
      <c r="A11" s="27">
        <v>4.0</v>
      </c>
      <c r="B11" s="27" t="s">
        <v>166</v>
      </c>
      <c r="C11" s="27">
        <v>2.0</v>
      </c>
      <c r="D11" s="27" t="s">
        <v>167</v>
      </c>
      <c r="E11" s="27" t="s">
        <v>168</v>
      </c>
    </row>
    <row r="12">
      <c r="A12" s="27">
        <v>5.0</v>
      </c>
      <c r="B12" s="27" t="s">
        <v>169</v>
      </c>
      <c r="C12" s="27">
        <v>1.0</v>
      </c>
      <c r="D12" s="27" t="s">
        <v>170</v>
      </c>
      <c r="E12" s="27" t="s">
        <v>165</v>
      </c>
    </row>
    <row r="13">
      <c r="A13" s="27">
        <v>6.0</v>
      </c>
      <c r="B13" s="27" t="s">
        <v>171</v>
      </c>
      <c r="C13" s="27">
        <v>5.0</v>
      </c>
      <c r="D13" s="27" t="s">
        <v>172</v>
      </c>
      <c r="E13" s="27" t="s">
        <v>173</v>
      </c>
    </row>
    <row r="14">
      <c r="A14" s="27">
        <v>7.0</v>
      </c>
      <c r="B14" s="27" t="s">
        <v>174</v>
      </c>
      <c r="C14" s="27">
        <v>4.0</v>
      </c>
      <c r="D14" s="27" t="s">
        <v>175</v>
      </c>
      <c r="E14" s="27" t="s">
        <v>176</v>
      </c>
    </row>
    <row r="15">
      <c r="A15" s="27">
        <v>8.0</v>
      </c>
      <c r="B15" s="27" t="s">
        <v>177</v>
      </c>
      <c r="C15" s="27">
        <v>4.0</v>
      </c>
      <c r="D15" s="27" t="s">
        <v>178</v>
      </c>
      <c r="E15" s="27" t="s">
        <v>179</v>
      </c>
    </row>
    <row r="16">
      <c r="A16" s="27">
        <v>9.0</v>
      </c>
      <c r="B16" s="27" t="s">
        <v>180</v>
      </c>
      <c r="C16" s="27">
        <v>2.0</v>
      </c>
      <c r="D16" s="27" t="s">
        <v>181</v>
      </c>
      <c r="E16" s="27" t="s">
        <v>182</v>
      </c>
    </row>
    <row r="17">
      <c r="A17" s="27">
        <v>10.0</v>
      </c>
      <c r="B17" s="27" t="s">
        <v>183</v>
      </c>
      <c r="C17" s="27">
        <v>2.0</v>
      </c>
      <c r="D17" s="27" t="s">
        <v>184</v>
      </c>
      <c r="E17" s="27" t="s">
        <v>185</v>
      </c>
    </row>
    <row r="18">
      <c r="A18" s="27">
        <v>11.0</v>
      </c>
      <c r="B18" s="27" t="s">
        <v>186</v>
      </c>
      <c r="C18" s="27">
        <v>2.0</v>
      </c>
      <c r="D18" s="27" t="s">
        <v>187</v>
      </c>
      <c r="E18" s="28" t="s">
        <v>188</v>
      </c>
    </row>
    <row r="19">
      <c r="A19" s="27">
        <v>12.0</v>
      </c>
      <c r="B19" s="27" t="s">
        <v>189</v>
      </c>
      <c r="C19" s="27">
        <v>2.0</v>
      </c>
      <c r="D19" s="27" t="s">
        <v>190</v>
      </c>
      <c r="E19" s="27" t="s">
        <v>191</v>
      </c>
    </row>
    <row r="20">
      <c r="A20" s="27">
        <v>13.0</v>
      </c>
      <c r="B20" s="27" t="s">
        <v>192</v>
      </c>
      <c r="C20" s="27">
        <v>1.0</v>
      </c>
      <c r="D20" s="27" t="s">
        <v>193</v>
      </c>
      <c r="E20" s="27" t="s">
        <v>194</v>
      </c>
    </row>
    <row r="21">
      <c r="A21" s="27">
        <v>14.0</v>
      </c>
      <c r="B21" s="27" t="s">
        <v>195</v>
      </c>
      <c r="C21" s="27">
        <v>4.0</v>
      </c>
      <c r="D21" s="27" t="s">
        <v>196</v>
      </c>
      <c r="E21" s="27" t="s">
        <v>197</v>
      </c>
    </row>
    <row r="22">
      <c r="A22" s="24"/>
      <c r="B22" s="27" t="s">
        <v>198</v>
      </c>
      <c r="C22" s="24">
        <f>SUM(C2:C15)</f>
        <v>23</v>
      </c>
      <c r="D22" s="24"/>
      <c r="E22" s="24"/>
    </row>
    <row r="23">
      <c r="A23" s="24"/>
      <c r="B23" s="27" t="s">
        <v>199</v>
      </c>
      <c r="C23" s="24">
        <f>0.65+0.01*C16</f>
        <v>0.67</v>
      </c>
      <c r="D23" s="24"/>
      <c r="E23"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200</v>
      </c>
    </row>
    <row r="4">
      <c r="A4" s="18" t="s">
        <v>201</v>
      </c>
    </row>
    <row r="5">
      <c r="A5" s="26" t="s">
        <v>202</v>
      </c>
    </row>
    <row r="6">
      <c r="A6" s="18" t="s">
        <v>203</v>
      </c>
    </row>
    <row r="7">
      <c r="A7" s="26" t="s">
        <v>204</v>
      </c>
    </row>
    <row r="8">
      <c r="A8" s="18" t="s">
        <v>205</v>
      </c>
    </row>
    <row r="9">
      <c r="A9" s="26" t="s">
        <v>206</v>
      </c>
    </row>
    <row r="10">
      <c r="A10" s="18" t="s">
        <v>207</v>
      </c>
    </row>
    <row r="11">
      <c r="A11" s="29">
        <v>112.24</v>
      </c>
    </row>
    <row r="12">
      <c r="A12" s="18" t="s">
        <v>208</v>
      </c>
    </row>
    <row r="13">
      <c r="A13" s="26" t="s">
        <v>209</v>
      </c>
    </row>
    <row r="14">
      <c r="A14" s="18" t="s">
        <v>210</v>
      </c>
    </row>
    <row r="15">
      <c r="A15" s="26" t="s">
        <v>211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212</v>
      </c>
    </row>
    <row r="4">
      <c r="A4" s="18" t="s">
        <v>213</v>
      </c>
      <c r="B4" s="18" t="s">
        <v>214</v>
      </c>
      <c r="C4" s="18" t="s">
        <v>215</v>
      </c>
      <c r="D4" s="18" t="s">
        <v>216</v>
      </c>
      <c r="E4" s="18" t="s">
        <v>217</v>
      </c>
      <c r="F4" s="18" t="s">
        <v>218</v>
      </c>
      <c r="G4" s="18" t="s">
        <v>219</v>
      </c>
    </row>
    <row r="5">
      <c r="A5" s="26" t="s">
        <v>220</v>
      </c>
      <c r="B5" s="26">
        <v>0.0</v>
      </c>
      <c r="C5" s="26" t="s">
        <v>221</v>
      </c>
      <c r="D5" s="26">
        <v>3.0</v>
      </c>
      <c r="E5" s="26">
        <v>3.0</v>
      </c>
      <c r="F5" s="26">
        <v>0.0</v>
      </c>
      <c r="G5" s="26">
        <v>3.0</v>
      </c>
    </row>
    <row r="6">
      <c r="A6" s="26" t="s">
        <v>222</v>
      </c>
      <c r="B6" s="26">
        <v>1.0</v>
      </c>
      <c r="C6" s="26" t="s">
        <v>223</v>
      </c>
      <c r="D6" s="26">
        <v>8.0</v>
      </c>
      <c r="E6" s="26">
        <v>22.0</v>
      </c>
      <c r="F6" s="26">
        <v>6.0</v>
      </c>
      <c r="G6" s="26">
        <v>16.0</v>
      </c>
    </row>
    <row r="7">
      <c r="A7" s="26" t="s">
        <v>224</v>
      </c>
      <c r="B7" s="26">
        <v>1.0</v>
      </c>
      <c r="C7" s="26" t="s">
        <v>223</v>
      </c>
      <c r="D7" s="26">
        <v>6.0</v>
      </c>
      <c r="E7" s="26">
        <v>13.0</v>
      </c>
      <c r="F7" s="26">
        <v>2.0</v>
      </c>
      <c r="G7" s="26">
        <v>11.0</v>
      </c>
    </row>
    <row r="8">
      <c r="A8" s="26" t="s">
        <v>225</v>
      </c>
      <c r="B8" s="26">
        <v>1.0</v>
      </c>
      <c r="C8" s="26" t="s">
        <v>223</v>
      </c>
      <c r="D8" s="26">
        <v>2.0</v>
      </c>
      <c r="E8" s="26">
        <v>1.0</v>
      </c>
      <c r="F8" s="26">
        <v>0.0</v>
      </c>
      <c r="G8" s="26">
        <v>1.0</v>
      </c>
    </row>
    <row r="9">
      <c r="A9" s="26" t="s">
        <v>226</v>
      </c>
      <c r="B9" s="26">
        <v>2.0</v>
      </c>
      <c r="C9" s="26" t="s">
        <v>227</v>
      </c>
      <c r="D9" s="26">
        <v>1.0</v>
      </c>
      <c r="E9" s="26">
        <v>0.0</v>
      </c>
      <c r="F9" s="26">
        <v>0.0</v>
      </c>
      <c r="G9" s="26">
        <v>0.0</v>
      </c>
    </row>
    <row r="10">
      <c r="A10" s="26" t="s">
        <v>228</v>
      </c>
      <c r="B10" s="26">
        <v>7.0</v>
      </c>
      <c r="C10" s="26" t="s">
        <v>229</v>
      </c>
      <c r="D10" s="26">
        <v>1.0</v>
      </c>
      <c r="E10" s="26">
        <v>0.0</v>
      </c>
      <c r="F10" s="26">
        <v>0.0</v>
      </c>
      <c r="G10" s="26">
        <v>0.0</v>
      </c>
    </row>
    <row r="11">
      <c r="A11" s="26" t="s">
        <v>230</v>
      </c>
      <c r="B11" s="26">
        <v>0.0</v>
      </c>
      <c r="C11" s="26" t="s">
        <v>221</v>
      </c>
      <c r="D11" s="26">
        <v>0.0</v>
      </c>
      <c r="E11" s="26">
        <v>0.0</v>
      </c>
      <c r="F11" s="26">
        <v>0.0</v>
      </c>
      <c r="G11" s="26">
        <v>0.0</v>
      </c>
    </row>
    <row r="12">
      <c r="A12" s="26" t="s">
        <v>223</v>
      </c>
      <c r="B12" s="26">
        <v>0.0</v>
      </c>
      <c r="C12" s="26" t="s">
        <v>221</v>
      </c>
      <c r="D12" s="26">
        <v>1.0</v>
      </c>
      <c r="E12" s="26">
        <v>0.0</v>
      </c>
      <c r="F12" s="26">
        <v>0.0</v>
      </c>
      <c r="G12" s="26">
        <v>0.0</v>
      </c>
    </row>
    <row r="13">
      <c r="A13" s="26" t="s">
        <v>231</v>
      </c>
      <c r="B13" s="26">
        <v>2.0</v>
      </c>
      <c r="C13" s="26" t="s">
        <v>227</v>
      </c>
      <c r="D13" s="26">
        <v>1.0</v>
      </c>
      <c r="E13" s="26">
        <v>0.0</v>
      </c>
      <c r="F13" s="26">
        <v>0.0</v>
      </c>
      <c r="G13" s="26">
        <v>0.0</v>
      </c>
    </row>
    <row r="14">
      <c r="A14" s="26" t="s">
        <v>232</v>
      </c>
      <c r="B14" s="26">
        <v>2.0</v>
      </c>
      <c r="C14" s="26" t="s">
        <v>233</v>
      </c>
      <c r="D14" s="26">
        <v>8.0</v>
      </c>
      <c r="E14" s="26">
        <v>17.0</v>
      </c>
      <c r="F14" s="26">
        <v>11.0</v>
      </c>
      <c r="G14" s="26">
        <v>6.0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s>
  <sheetData>
    <row r="1">
      <c r="A1" s="1" t="s">
        <v>234</v>
      </c>
    </row>
    <row r="4">
      <c r="A4" s="25" t="s">
        <v>111</v>
      </c>
      <c r="B4" s="14"/>
      <c r="C4" s="14"/>
      <c r="D4" s="14"/>
      <c r="E4" s="14"/>
      <c r="F4" s="14"/>
      <c r="G4" s="14"/>
      <c r="H4" s="15"/>
    </row>
    <row r="9">
      <c r="A9" s="26" t="s">
        <v>235</v>
      </c>
    </row>
    <row r="11">
      <c r="A11" s="26" t="s">
        <v>236</v>
      </c>
    </row>
    <row r="14">
      <c r="A14" s="18" t="s">
        <v>237</v>
      </c>
      <c r="B14" s="18" t="s">
        <v>238</v>
      </c>
      <c r="C14" s="30"/>
      <c r="H14" s="26"/>
    </row>
    <row r="15">
      <c r="A15" s="26" t="s">
        <v>239</v>
      </c>
      <c r="B15" s="27" t="s">
        <v>240</v>
      </c>
    </row>
    <row r="16">
      <c r="A16" s="26" t="s">
        <v>241</v>
      </c>
      <c r="B16" s="27" t="s">
        <v>242</v>
      </c>
      <c r="H16" s="26" t="s">
        <v>243</v>
      </c>
    </row>
    <row r="17">
      <c r="A17" s="26" t="s">
        <v>244</v>
      </c>
      <c r="B17" s="27" t="s">
        <v>245</v>
      </c>
      <c r="H17" s="26" t="s">
        <v>246</v>
      </c>
    </row>
    <row r="18">
      <c r="A18" s="26" t="s">
        <v>247</v>
      </c>
      <c r="B18" s="27" t="s">
        <v>248</v>
      </c>
      <c r="H18" s="26" t="s">
        <v>249</v>
      </c>
    </row>
    <row r="19">
      <c r="A19" s="26" t="s">
        <v>250</v>
      </c>
      <c r="B19" s="27">
        <v>1.67</v>
      </c>
    </row>
    <row r="20">
      <c r="A20" s="26" t="s">
        <v>251</v>
      </c>
      <c r="B20" s="27" t="s">
        <v>252</v>
      </c>
    </row>
  </sheetData>
  <mergeCells count="1">
    <mergeCell ref="A4:H4"/>
  </mergeCells>
  <drawing r:id="rId1"/>
</worksheet>
</file>