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 sheetId="1" r:id="rId5"/>
    <sheet state="visible" name="CC" sheetId="2" r:id="rId6"/>
    <sheet state="visible" name="Halstead" sheetId="3" r:id="rId7"/>
    <sheet state="visible" name="Albrecht" sheetId="4" r:id="rId8"/>
    <sheet state="visible" name="MI" sheetId="5" r:id="rId9"/>
    <sheet state="visible" name="TFC" sheetId="6" r:id="rId10"/>
    <sheet state="visible" name="r201DOOEngins-ENS" sheetId="7" r:id="rId11"/>
    <sheet state="visible" name="Couplage-Cohésion" sheetId="8" r:id="rId12"/>
  </sheets>
  <definedNames/>
  <calcPr/>
</workbook>
</file>

<file path=xl/sharedStrings.xml><?xml version="1.0" encoding="utf-8"?>
<sst xmlns="http://schemas.openxmlformats.org/spreadsheetml/2006/main" count="291" uniqueCount="233">
  <si>
    <t>Mesure LOC (Lines Of Code) - projet BAGNIS-MARCUS-PIBOULEAU</t>
  </si>
  <si>
    <t>Périmètre</t>
  </si>
  <si>
    <t>Fichiers</t>
  </si>
  <si>
    <t>LOC (lignes non vides)</t>
  </si>
  <si>
    <t>LOC moyen / fichier</t>
  </si>
  <si>
    <t>Dépôt complet (script scriptligne.sh)</t>
  </si>
  <si>
    <t>Application ./app (php, js, jsx, css, ps1)</t>
  </si>
  <si>
    <t>Écart (Maquette, lockfile, etc.)</t>
  </si>
  <si>
    <t>Méthode et hypothèses</t>
  </si>
  <si>
    <t>LOC = lignes non vides (commentaires inclus), mesurées avec le script bash scriptligne.sh.</t>
  </si>
  <si>
    <t>Dépôt complet : exclut seulement .git, node_modules, .venv, __pycache__ (fichiers binaires ignorés).</t>
  </si>
  <si>
    <t>Application : find ./app sur *.php, *.js, *.jsx, *.css, *.ps1, hors node_modules et vendor.</t>
  </si>
  <si>
    <t>Le dépôt complet inclut pnpm-lock.yaml (1077 lignes, fichier généré) et la Maquette (prototype).</t>
  </si>
  <si>
    <t>Les valeurs en bleu sont des résultats saisis depuis le terminal ; les valeurs en noir sont des formules.</t>
  </si>
  <si>
    <t>Le périmètre ./app exclut .html, .sql, .json, .md, .yml.</t>
  </si>
  <si>
    <t>Complexité cyclomatique (CC) - iqsort0</t>
  </si>
  <si>
    <t>Nœuds</t>
  </si>
  <si>
    <t>Arêtes</t>
  </si>
  <si>
    <t>Calcul de V(G) = E - N + 2P</t>
  </si>
  <si>
    <t>Nœud</t>
  </si>
  <si>
    <t>Instruction</t>
  </si>
  <si>
    <t>Lignes</t>
  </si>
  <si>
    <t>De</t>
  </si>
  <si>
    <t>Vers</t>
  </si>
  <si>
    <t>E (arêtes)</t>
  </si>
  <si>
    <t>N1</t>
  </si>
  <si>
    <t>if (n &lt;= 1)</t>
  </si>
  <si>
    <t>3-4</t>
  </si>
  <si>
    <t>N2</t>
  </si>
  <si>
    <t>N (nœuds)</t>
  </si>
  <si>
    <t>return</t>
  </si>
  <si>
    <t>5</t>
  </si>
  <si>
    <t>N3</t>
  </si>
  <si>
    <t>P (composantes connexes)</t>
  </si>
  <si>
    <t>i = 1, j = 0</t>
  </si>
  <si>
    <t>6</t>
  </si>
  <si>
    <t>N9</t>
  </si>
  <si>
    <t>V(G) = E - N + 2P</t>
  </si>
  <si>
    <t>N4</t>
  </si>
  <si>
    <t>i &lt; n ?</t>
  </si>
  <si>
    <t>Contrôle : décisions + 1 (3 décisions : lignes 4, 6, 7)</t>
  </si>
  <si>
    <t>N5</t>
  </si>
  <si>
    <t>a[i] &lt; a[0] ?</t>
  </si>
  <si>
    <t>7</t>
  </si>
  <si>
    <t>N6</t>
  </si>
  <si>
    <t>swap(++j, i, a)</t>
  </si>
  <si>
    <t>8</t>
  </si>
  <si>
    <t>N8</t>
  </si>
  <si>
    <t>Contrôle : écart avec V(G)</t>
  </si>
  <si>
    <t>N7</t>
  </si>
  <si>
    <t>i++</t>
  </si>
  <si>
    <t>swap + 2 appels iqsort0</t>
  </si>
  <si>
    <t>9-11</t>
  </si>
  <si>
    <t>Hypothèses</t>
  </si>
  <si>
    <t>Sortie</t>
  </si>
  <si>
    <t>12</t>
  </si>
  <si>
    <t>P = 1 : une seule fonction, donc un seul graphe connexe.</t>
  </si>
  <si>
    <t>Les 2 appels récursifs sont comptés dans le bloc N8 (pas de nœud de décision).</t>
  </si>
  <si>
    <t>Lignes : numérotation du code du sujet (void iqsort0 = ligne 1).</t>
  </si>
  <si>
    <t>Valeurs en bleu : saisies ; valeurs en noir : formules.</t>
  </si>
  <si>
    <t>Métriques de Halstead - iqsort0</t>
  </si>
  <si>
    <t>Opérateurs</t>
  </si>
  <si>
    <t>Opérandes</t>
  </si>
  <si>
    <t>Mesures</t>
  </si>
  <si>
    <t>Opérateur</t>
  </si>
  <si>
    <t>Occurrences</t>
  </si>
  <si>
    <t>Opérande</t>
  </si>
  <si>
    <t>nt (opérateurs distincts)</t>
  </si>
  <si>
    <t>void</t>
  </si>
  <si>
    <t>iqsort0</t>
  </si>
  <si>
    <t>Nt (occurrences d'opérateurs)</t>
  </si>
  <si>
    <t>( )</t>
  </si>
  <si>
    <t>swap</t>
  </si>
  <si>
    <t>nd (opérandes distincts)</t>
  </si>
  <si>
    <t>int</t>
  </si>
  <si>
    <t>a</t>
  </si>
  <si>
    <t>Nd (occurrences d'opérandes)</t>
  </si>
  <si>
    <t>*</t>
  </si>
  <si>
    <t>n</t>
  </si>
  <si>
    <t>Longueur N = Nt + Nd</t>
  </si>
  <si>
    <t>,</t>
  </si>
  <si>
    <t>i</t>
  </si>
  <si>
    <t>Vocabulaire n = nt + nd</t>
  </si>
  <si>
    <t>{ }</t>
  </si>
  <si>
    <t>j</t>
  </si>
  <si>
    <t>Volume = N * log2(n)</t>
  </si>
  <si>
    <t>;</t>
  </si>
  <si>
    <t>0</t>
  </si>
  <si>
    <t>Difficulté = (nt/2) * (Nd/nd)</t>
  </si>
  <si>
    <t>if</t>
  </si>
  <si>
    <t>1</t>
  </si>
  <si>
    <t>Effort = Difficulté * Volume</t>
  </si>
  <si>
    <t>&lt;=</t>
  </si>
  <si>
    <t>Conventions de comptage</t>
  </si>
  <si>
    <t>for</t>
  </si>
  <si>
    <t>Opérateurs : mots-clés (void, int, if, for, return), symboles (*, =, &lt;, &lt;=, +, -, ++), séparateurs (, ;).</t>
  </si>
  <si>
    <t>=</t>
  </si>
  <si>
    <t>Les paires ( ), { } et [ ] comptent pour un seul opérateur chacune.</t>
  </si>
  <si>
    <t>&lt;</t>
  </si>
  <si>
    <t>Opérandes : variables, constantes et noms de fonctions appelées (iqsort0, swap), comme dans le cours.</t>
  </si>
  <si>
    <t>++</t>
  </si>
  <si>
    <t>++ (préfixe ligne 8, suffixe ligne 6) est un seul opérateur ; * (déclaration du pointeur) aussi.</t>
  </si>
  <si>
    <t>[ ]</t>
  </si>
  <si>
    <t>Le choix des conventions (parenthèses, ;) influence les résultats : cf. faiblesses de Halstead.</t>
  </si>
  <si>
    <t>+</t>
  </si>
  <si>
    <t>-</t>
  </si>
  <si>
    <t>Question 7 - Validité des mesures de Halstead</t>
  </si>
  <si>
    <t xml:space="preserve">En théorie de la mesure, une mesure est valide si elle caractérise précisément l'attribut qu'elle prétend mesurer : elle associe des nombres aux entités de façon à préserver les relations empiriques (si un code est jugé plus difficile qu'un autre, son nombre doit être plus grand). Elle doit aussi être définie sans ambiguïté, donc reproductible d'une personne à l'autre. </t>
  </si>
  <si>
    <t>Or, les compteurs de base sont ambigus, car deux personnes avec le même code peuvent obtenir un résultat différent. On ne peut donc pas dire si les mesures représentent fidèlement ce qu'elles sont censées représenter.</t>
  </si>
  <si>
    <t>Score UFC</t>
  </si>
  <si>
    <t>Catégorie</t>
  </si>
  <si>
    <t>Calcul</t>
  </si>
  <si>
    <t>Sous-total</t>
  </si>
  <si>
    <t>Poids (simple / moyen / difficile)</t>
  </si>
  <si>
    <t>Scores (simple / moyen / difficile)</t>
  </si>
  <si>
    <t>Entrées externes</t>
  </si>
  <si>
    <t>3×4 + 4×3 + 6×1</t>
  </si>
  <si>
    <t>1 / 2 / 4</t>
  </si>
  <si>
    <t>1 / 1 / 0</t>
  </si>
  <si>
    <t>1×1 + 2×1 + 4×0</t>
  </si>
  <si>
    <t>Sorties externes</t>
  </si>
  <si>
    <t>4×0 + 5×2 + 7×1</t>
  </si>
  <si>
    <t>2 / 3 / 5</t>
  </si>
  <si>
    <t>0 / 1 / 0</t>
  </si>
  <si>
    <t>2×0 + 3×1 + 5×0</t>
  </si>
  <si>
    <t>Requêtes externes</t>
  </si>
  <si>
    <t>3×7 + 4×0 + 6×0</t>
  </si>
  <si>
    <t>0 / 0 / 0</t>
  </si>
  <si>
    <t>1×0 + 2×0 + 4×0</t>
  </si>
  <si>
    <t>Fichiers internes</t>
  </si>
  <si>
    <t>7×3 + 10×0 + 15×0</t>
  </si>
  <si>
    <t>3 / 5 / 8</t>
  </si>
  <si>
    <t>3×0 + 5×0 + 0×0</t>
  </si>
  <si>
    <t>Fichiers externes</t>
  </si>
  <si>
    <t>5×0 + 7×5 + 10×2</t>
  </si>
  <si>
    <t xml:space="preserve">
3 / 5 / 8</t>
  </si>
  <si>
    <t>3×0 + 5×0 + 8×0</t>
  </si>
  <si>
    <t>Total</t>
  </si>
  <si>
    <t>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</si>
  <si>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Index of maintenability ( MI )</t>
  </si>
  <si>
    <t>171 - 5,2ln(HV) - 0,23CC - 16,2ln(LOC) + 50sin * sqrt(2,46COM)</t>
  </si>
  <si>
    <t>Volume d’Halstead (HV)</t>
  </si>
  <si>
    <t>Complexité cyclomatique (CC)</t>
  </si>
  <si>
    <t>Nombre de lignes de code (LOC)</t>
  </si>
  <si>
    <t>Pourcentage de lignes de code qui sont des commentaires (COM)</t>
  </si>
  <si>
    <t>171 - 5,2 * ln(390,08) - 0,23 * 4 - 16,2 * ln(12) + 0 = 171 − 31,03 − 0,92 − 40,26 ≈ 98,80</t>
  </si>
  <si>
    <t>Calcul avec COM</t>
  </si>
  <si>
    <t>0,52 ( 13 /24 )</t>
  </si>
  <si>
    <t>171 - 5,2 * ln(390,08) - 0,23 * 4 - 16,2 * ln(12) + 50 * sin * sqrt(2,46 * 0,52 ) = 171 − 31,03 − 0,92 − 40,26 + 45,24  ≈ 144,04</t>
  </si>
  <si>
    <t xml:space="preserve">On voit que le score est plus elevé avec les commentaires </t>
  </si>
  <si>
    <t>/*
 * Auteur      : Prénom NOM
 * Date        : 08/10/2026
 * Description : QuickSort simplifié (Bentley et McIlroy, 1993).
 *               Trie en place les n premiers éléments du tableau a,
 *               par ordre croissant.
 */
void iqsort0 ( int *a , int n )
{
    int i , j ;
    // Cas de base : un tableau de 0 ou 1 élément est déjà trié
    if ( n &lt;=1)
        return ;
    // Partitionnement autour du pivot a[0] : j = indice du dernier élément &lt; pivot
    for ( i = 1 , j = 0; i &lt; n ; i ++)
    // Si a[i] est plus petit que le pivot, on l'ajoute à la zone de gauche
        if ( a [ i ] &lt; a [0])
            swap (++ j , i , a );
    // Place le pivot à sa position définitive j
    swap (0 , j , a );
    // Tri récursif de la partie gauche (éléments &lt; pivot)
    iqsort0 (a , j );
    // Tri récursif de la partie droite (éléments &gt;= pivot)
    iqsort0 ( a + j +1 , n -j -1);
}</t>
  </si>
  <si>
    <t>Calcul TFC</t>
  </si>
  <si>
    <t>N°</t>
  </si>
  <si>
    <t>Facteur</t>
  </si>
  <si>
    <t>Note</t>
  </si>
  <si>
    <t>Justification</t>
  </si>
  <si>
    <t>Preuves</t>
  </si>
  <si>
    <t>Communications de données</t>
  </si>
  <si>
    <t>SPA qui communique avec une API REST en HTTP, avec un polling toutes les 60 s</t>
  </si>
  <si>
    <t>httpClient.js, api.php</t>
  </si>
  <si>
    <t>Traitement distribué</t>
  </si>
  <si>
    <t>Architecture client-serveur classique en 3 niveaux (front, API, MySQL)</t>
  </si>
  <si>
    <t>guide-developpeur.md, DatabaseConnection.php</t>
  </si>
  <si>
    <t>Performances</t>
  </si>
  <si>
    <t>Fluidité demandée (rotation des médias), sans seuil chiffré</t>
  </si>
  <si>
    <t>Cahier-des-charges.pdf</t>
  </si>
  <si>
    <t>Configuration très sollicitée</t>
  </si>
  <si>
    <t>Seule contrainte connue : le quota de stockage Alwaysdata</t>
  </si>
  <si>
    <t>StorageProbeInterface.php</t>
  </si>
  <si>
    <t>Taux de transactions</t>
  </si>
  <si>
    <t>Volume modeste : environ 20 profs au maximum plus un écran</t>
  </si>
  <si>
    <t>Saisie interactive</t>
  </si>
  <si>
    <t>Toutes les données (médias, playlists, réservations...) sont saisies en ligne</t>
  </si>
  <si>
    <t>MachineCalendar.jsx, MediaSection.jsx</t>
  </si>
  <si>
    <t>Efficacité pour l'utilisateur final</t>
  </si>
  <si>
    <t>Glisser-déposer, récurrence, détection de la durée des vidéos, édition en ligne</t>
  </si>
  <si>
    <t>recurrence.js, PlaylistManager.jsx</t>
  </si>
  <si>
    <t>Mise à jour interactive</t>
  </si>
  <si>
    <t>Mise à jour directe de la base, avec intégrité référentielle</t>
  </si>
  <si>
    <t>MySQLReservationRepository.php</t>
  </si>
  <si>
    <t>Traitement complexe</t>
  </si>
  <si>
    <t>CRUD enrichi (récurrence, conflits de réservation, quotas et types MIME)</t>
  </si>
  <si>
    <t>recurrence.js</t>
  </si>
  <si>
    <t>Réutilisabilité</t>
  </si>
  <si>
    <t>Composants et services modulaires, mais non distribués en bibliothèque</t>
  </si>
  <si>
    <t>ReservationRepositoryInterface.php</t>
  </si>
  <si>
    <t>Facilité d'installation</t>
  </si>
  <si>
    <t>Déploiement documenté mais manuel (pas de Docker ni de CI/CD)</t>
  </si>
  <si>
    <t>guide-developpeur.md</t>
  </si>
  <si>
    <t>Facilité d'exploitation</t>
  </si>
  <si>
    <t>Kiosque autonome avec écran de secours, mais sans logs ni monitoring ni sauvegarde</t>
  </si>
  <si>
    <t>FallbackScreen.jsx</t>
  </si>
  <si>
    <t>Sites multiples</t>
  </si>
  <si>
    <t>Application dédiée à la seule partie aéro</t>
  </si>
  <si>
    <t>EnvLoader.php</t>
  </si>
  <si>
    <t>Facilité de modification</t>
  </si>
  <si>
    <t>Architecture hexagonale, découpage par features, injection de dépendances, documentation</t>
  </si>
  <si>
    <t>Container.php</t>
  </si>
  <si>
    <t>Somme des notes</t>
  </si>
  <si>
    <t>TFC = 0,65 + 0,01 × somme</t>
  </si>
  <si>
    <t>Analyse r201DOOEngins-ENS</t>
  </si>
  <si>
    <t>LOC</t>
  </si>
  <si>
    <t>229 (276 lignes physiques, 47 vides, 47 de commentaires, 182 de code pur)</t>
  </si>
  <si>
    <t>CC</t>
  </si>
  <si>
    <t>total 40 sur 34 méthodes, moyenne 1,18, maximum 4</t>
  </si>
  <si>
    <t>Halstead</t>
  </si>
  <si>
    <t>nt = 33, Nt = 625, nd = 90, Nd = 271, N = 896, n = 123, Volume ≈ 6 220, Difficulté ≈ 49,7, Effort ≈ 309 055</t>
  </si>
  <si>
    <t>MI moyen</t>
  </si>
  <si>
    <t>UFC</t>
  </si>
  <si>
    <t>4 (lecture stricte) ou 14 (lecture « pédagogique »)</t>
  </si>
  <si>
    <t>TFC</t>
  </si>
  <si>
    <t>0,73 (somme des notes = 8)</t>
  </si>
  <si>
    <t>Classe</t>
  </si>
  <si>
    <t>CBO</t>
  </si>
  <si>
    <t>Classes liées</t>
  </si>
  <si>
    <t>Nb méthodes</t>
  </si>
  <si>
    <t>P</t>
  </si>
  <si>
    <t>Q</t>
  </si>
  <si>
    <t>LCOM</t>
  </si>
  <si>
    <t>Carburant</t>
  </si>
  <si>
    <t>Aucune</t>
  </si>
  <si>
    <t>Electrique</t>
  </si>
  <si>
    <t>Propulsion</t>
  </si>
  <si>
    <t>Engin</t>
  </si>
  <si>
    <t>Eolienne</t>
  </si>
  <si>
    <t>Flottant</t>
  </si>
  <si>
    <t>Engin, Propulsion</t>
  </si>
  <si>
    <t>Main</t>
  </si>
  <si>
    <t>Carburant, Electrique, Engin, Flottant, Propulsion, Roulant, Thermique</t>
  </si>
  <si>
    <t>Marker</t>
  </si>
  <si>
    <t>Roulant</t>
  </si>
  <si>
    <t>Thermique</t>
  </si>
  <si>
    <t>Propulsion, Carburant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</si>
</sst>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1">
    <font>
      <sz val="11.0"/>
      <color theme="1"/>
      <name val="Calibri"/>
      <scheme val="minor"/>
    </font>
    <font>
      <b/>
      <sz val="13.0"/>
      <color theme="1"/>
      <name val="Arial"/>
    </font>
    <font>
      <sz val="11.0"/>
      <color theme="1"/>
      <name val="Calibri"/>
    </font>
    <font>
      <b/>
      <sz val="11.0"/>
      <color theme="1"/>
      <name val="Arial"/>
    </font>
    <font>
      <sz val="11.0"/>
      <color theme="1"/>
      <name val="Arial"/>
    </font>
    <font>
      <sz val="11.0"/>
      <color rgb="FF0000FF"/>
      <name val="Arial"/>
    </font>
    <font>
      <b/>
      <sz val="12.0"/>
      <color theme="1"/>
      <name val="Arial"/>
    </font>
    <font/>
    <font>
      <color theme="1"/>
      <name val="Arial"/>
    </font>
    <font>
      <b/>
      <color theme="1"/>
      <name val="Arial"/>
    </font>
    <font>
      <color theme="1"/>
      <name val="Calibri"/>
      <scheme val="minor"/>
    </font>
  </fonts>
  <fills count="3">
    <fill>
      <patternFill patternType="none"/>
    </fill>
    <fill>
      <patternFill patternType="lightGray"/>
    </fill>
    <fill>
      <patternFill patternType="solid">
        <fgColor rgb="FFD9E1F2"/>
        <bgColor rgb="FFD9E1F2"/>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5" numFmtId="3" xfId="0" applyAlignment="1" applyFont="1" applyNumberFormat="1">
      <alignment shrinkToFit="0" vertical="bottom" wrapText="0"/>
    </xf>
    <xf borderId="0" fillId="0" fontId="4" numFmtId="164" xfId="0" applyAlignment="1" applyFont="1" applyNumberFormat="1">
      <alignment shrinkToFit="0" vertical="bottom" wrapText="0"/>
    </xf>
    <xf borderId="0" fillId="0" fontId="4" numFmtId="3" xfId="0" applyAlignment="1" applyFont="1" applyNumberFormat="1">
      <alignment shrinkToFit="0" vertical="bottom" wrapText="0"/>
    </xf>
    <xf borderId="0" fillId="0" fontId="3" numFmtId="0" xfId="0" applyAlignment="1" applyFont="1">
      <alignment shrinkToFit="0" vertical="bottom" wrapText="0"/>
    </xf>
    <xf borderId="0" fillId="0" fontId="4" numFmtId="2" xfId="0" applyAlignment="1" applyFont="1" applyNumberFormat="1">
      <alignment shrinkToFit="0" vertical="bottom" wrapText="0"/>
    </xf>
    <xf borderId="0" fillId="0" fontId="4" numFmtId="4" xfId="0" applyAlignment="1" applyFont="1" applyNumberFormat="1">
      <alignment shrinkToFit="0" vertical="bottom" wrapText="0"/>
    </xf>
    <xf borderId="0" fillId="0" fontId="6" numFmtId="0" xfId="0" applyAlignment="1" applyFont="1">
      <alignment shrinkToFit="0" vertical="bottom" wrapText="0"/>
    </xf>
    <xf borderId="2" fillId="2" fontId="3" numFmtId="0" xfId="0" applyAlignment="1" applyBorder="1" applyFill="1" applyFont="1">
      <alignment shrinkToFit="0" vertical="bottom" wrapText="0"/>
    </xf>
    <xf borderId="3" fillId="0" fontId="7" numFmtId="0" xfId="0" applyBorder="1" applyFont="1"/>
    <xf borderId="4" fillId="0" fontId="7" numFmtId="0" xfId="0" applyBorder="1" applyFont="1"/>
    <xf borderId="0" fillId="0" fontId="4" numFmtId="0" xfId="0" applyAlignment="1" applyFont="1">
      <alignment readingOrder="0" shrinkToFit="0" vertical="top" wrapText="1"/>
    </xf>
    <xf borderId="0" fillId="0" fontId="4" numFmtId="0" xfId="0" applyAlignment="1" applyFont="1">
      <alignment shrinkToFit="0" vertical="top" wrapText="1"/>
    </xf>
    <xf borderId="1" fillId="2" fontId="3" numFmtId="0" xfId="0" applyAlignment="1" applyBorder="1" applyFill="1" applyFont="1">
      <alignment readingOrder="0" shrinkToFit="0" vertical="bottom" wrapText="0"/>
    </xf>
    <xf borderId="1" fillId="2" fontId="3" numFmtId="0" xfId="0" applyAlignment="1" applyBorder="1" applyFill="1" applyFont="1">
      <alignment readingOrder="0" shrinkToFit="0" vertical="bottom" wrapText="1"/>
    </xf>
    <xf borderId="0" fillId="0" fontId="8" numFmtId="0" xfId="0" applyAlignment="1" applyFont="1">
      <alignment readingOrder="0" shrinkToFit="0" wrapText="1"/>
    </xf>
    <xf borderId="0" fillId="0" fontId="8" numFmtId="0" xfId="0" applyAlignment="1" applyFont="1">
      <alignment readingOrder="0"/>
    </xf>
    <xf borderId="0" fillId="0" fontId="8" numFmtId="0" xfId="0" applyAlignment="1" applyFont="1">
      <alignment shrinkToFit="0" wrapText="1"/>
    </xf>
    <xf borderId="0" fillId="0" fontId="9" numFmtId="0" xfId="0" applyAlignment="1" applyFont="1">
      <alignment readingOrder="0" shrinkToFit="0" wrapText="1"/>
    </xf>
    <xf borderId="0" fillId="0" fontId="10" numFmtId="0" xfId="0" applyAlignment="1" applyFont="1">
      <alignment shrinkToFit="0" wrapText="1"/>
    </xf>
    <xf borderId="2" fillId="2" fontId="3" numFmtId="0" xfId="0" applyAlignment="1" applyBorder="1" applyFill="1" applyFont="1">
      <alignment readingOrder="0" shrinkToFit="0" vertical="bottom" wrapText="0"/>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4" width="24.0"/>
    <col customWidth="1" min="5" max="26" width="8.71"/>
  </cols>
  <sheetData>
    <row r="1" ht="15.75" customHeight="1">
      <c r="A1" s="1" t="s">
        <v>0</v>
      </c>
      <c r="B1" s="2"/>
      <c r="C1" s="2"/>
      <c r="D1" s="2"/>
    </row>
    <row r="2">
      <c r="A2" s="2"/>
      <c r="B2" s="2"/>
      <c r="C2" s="2"/>
      <c r="D2" s="2"/>
    </row>
    <row r="3" ht="15.0" customHeight="1">
      <c r="A3" s="3" t="s">
        <v>1</v>
      </c>
      <c r="B3" s="3" t="s">
        <v>2</v>
      </c>
      <c r="C3" s="3" t="s">
        <v>3</v>
      </c>
      <c r="D3" s="3" t="s">
        <v>4</v>
      </c>
    </row>
    <row r="4" ht="15.0" customHeight="1">
      <c r="A4" s="4" t="s">
        <v>5</v>
      </c>
      <c r="B4" s="5">
        <v>301.0</v>
      </c>
      <c r="C4" s="6">
        <v>23053.0</v>
      </c>
      <c r="D4" s="7">
        <f>C4/B4</f>
        <v>76.58803987</v>
      </c>
    </row>
    <row r="5" ht="15.0" customHeight="1">
      <c r="A5" s="4" t="s">
        <v>6</v>
      </c>
      <c r="B5" s="4"/>
      <c r="C5" s="6">
        <v>13696.0</v>
      </c>
      <c r="D5" s="4"/>
    </row>
    <row r="6" ht="15.0" customHeight="1">
      <c r="A6" s="4" t="s">
        <v>7</v>
      </c>
      <c r="B6" s="4"/>
      <c r="C6" s="8">
        <f>C4-C5</f>
        <v>9357</v>
      </c>
      <c r="D6" s="4"/>
    </row>
    <row r="7">
      <c r="A7" s="2"/>
      <c r="B7" s="2"/>
      <c r="C7" s="2"/>
      <c r="D7" s="2"/>
    </row>
    <row r="8" ht="15.0" customHeight="1">
      <c r="A8" s="9" t="s">
        <v>8</v>
      </c>
      <c r="B8" s="2"/>
      <c r="C8" s="2"/>
      <c r="D8" s="2"/>
    </row>
    <row r="9" ht="15.0" customHeight="1">
      <c r="A9" s="4" t="s">
        <v>9</v>
      </c>
      <c r="B9" s="2"/>
      <c r="C9" s="2"/>
      <c r="D9" s="2"/>
    </row>
    <row r="10" ht="15.0" customHeight="1">
      <c r="A10" s="4" t="s">
        <v>10</v>
      </c>
      <c r="B10" s="2"/>
      <c r="C10" s="2"/>
      <c r="D10" s="2"/>
    </row>
    <row r="11" ht="15.0" customHeight="1">
      <c r="A11" s="4" t="s">
        <v>11</v>
      </c>
      <c r="B11" s="2"/>
      <c r="C11" s="2"/>
      <c r="D11" s="2"/>
    </row>
    <row r="12" ht="15.0" customHeight="1">
      <c r="A12" s="4" t="s">
        <v>12</v>
      </c>
      <c r="B12" s="2"/>
      <c r="C12" s="2"/>
      <c r="D12" s="2"/>
    </row>
    <row r="13" ht="15.0" customHeight="1">
      <c r="A13" s="4" t="s">
        <v>13</v>
      </c>
      <c r="B13" s="2"/>
      <c r="C13" s="2"/>
      <c r="D13" s="2"/>
    </row>
    <row r="14" ht="15.0" customHeight="1">
      <c r="A14" s="4" t="s">
        <v>14</v>
      </c>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ht="15.75" customHeight="1">
      <c r="A21" s="2"/>
      <c r="B21" s="2"/>
      <c r="C21" s="2"/>
      <c r="D21" s="2"/>
    </row>
    <row r="22" ht="15.75" customHeight="1">
      <c r="A22" s="2"/>
      <c r="B22" s="2"/>
      <c r="C22" s="2"/>
      <c r="D22" s="2"/>
    </row>
    <row r="23" ht="15.75" customHeight="1">
      <c r="A23" s="2"/>
      <c r="B23" s="2"/>
      <c r="C23" s="2"/>
      <c r="D23" s="2"/>
    </row>
    <row r="24" ht="15.75" customHeight="1">
      <c r="A24" s="2"/>
      <c r="B24" s="2"/>
      <c r="C24" s="2"/>
      <c r="D24" s="2"/>
    </row>
    <row r="25" ht="15.75" customHeight="1">
      <c r="A25" s="2"/>
      <c r="B25" s="2"/>
      <c r="C25" s="2"/>
      <c r="D25" s="2"/>
    </row>
    <row r="26" ht="15.75" customHeight="1">
      <c r="A26" s="2"/>
      <c r="B26" s="2"/>
      <c r="C26" s="2"/>
      <c r="D26" s="2"/>
    </row>
    <row r="27" ht="15.75" customHeight="1">
      <c r="A27" s="2"/>
      <c r="B27" s="2"/>
      <c r="C27" s="2"/>
      <c r="D27" s="2"/>
    </row>
    <row r="28" ht="15.75" customHeight="1">
      <c r="A28" s="2"/>
      <c r="B28" s="2"/>
      <c r="C28" s="2"/>
      <c r="D28" s="2"/>
    </row>
    <row r="29" ht="15.75" customHeight="1">
      <c r="A29" s="2"/>
      <c r="B29" s="2"/>
      <c r="C29" s="2"/>
      <c r="D29" s="2"/>
    </row>
    <row r="30" ht="15.75" customHeight="1">
      <c r="A30" s="2"/>
      <c r="B30" s="2"/>
      <c r="C30" s="2"/>
      <c r="D30" s="2"/>
    </row>
    <row r="31" ht="15.75" customHeight="1">
      <c r="A31" s="2"/>
      <c r="B31" s="2"/>
      <c r="C31" s="2"/>
      <c r="D31" s="2"/>
    </row>
    <row r="32" ht="15.75" customHeight="1">
      <c r="A32" s="2"/>
      <c r="B32" s="2"/>
      <c r="C32" s="2"/>
      <c r="D32" s="2"/>
    </row>
    <row r="33" ht="15.75" customHeight="1">
      <c r="A33" s="2"/>
      <c r="B33" s="2"/>
      <c r="C33" s="2"/>
      <c r="D33" s="2"/>
    </row>
    <row r="34" ht="15.75" customHeight="1">
      <c r="A34" s="2"/>
      <c r="B34" s="2"/>
      <c r="C34" s="2"/>
      <c r="D34" s="2"/>
    </row>
    <row r="35" ht="15.75" customHeight="1">
      <c r="A35" s="2"/>
      <c r="B35" s="2"/>
      <c r="C35" s="2"/>
      <c r="D35" s="2"/>
    </row>
    <row r="36" ht="15.75" customHeight="1">
      <c r="A36" s="2"/>
      <c r="B36" s="2"/>
      <c r="C36" s="2"/>
      <c r="D36" s="2"/>
    </row>
    <row r="37" ht="15.75" customHeight="1">
      <c r="A37" s="2"/>
      <c r="B37" s="2"/>
      <c r="C37" s="2"/>
      <c r="D37" s="2"/>
    </row>
    <row r="38" ht="15.75" customHeight="1">
      <c r="A38" s="2"/>
      <c r="B38" s="2"/>
      <c r="C38" s="2"/>
      <c r="D38" s="2"/>
    </row>
    <row r="39" ht="15.75" customHeight="1">
      <c r="A39" s="2"/>
      <c r="B39" s="2"/>
      <c r="C39" s="2"/>
      <c r="D39" s="2"/>
    </row>
    <row r="40" ht="15.75" customHeight="1">
      <c r="A40" s="2"/>
      <c r="B40" s="2"/>
      <c r="C40" s="2"/>
      <c r="D40" s="2"/>
    </row>
    <row r="41" ht="15.75" customHeight="1">
      <c r="A41" s="2"/>
      <c r="B41" s="2"/>
      <c r="C41" s="2"/>
      <c r="D41" s="2"/>
    </row>
    <row r="42" ht="15.75" customHeight="1">
      <c r="A42" s="2"/>
      <c r="B42" s="2"/>
      <c r="C42" s="2"/>
      <c r="D42" s="2"/>
    </row>
    <row r="43" ht="15.75" customHeight="1">
      <c r="A43" s="2"/>
      <c r="B43" s="2"/>
      <c r="C43" s="2"/>
      <c r="D43" s="2"/>
    </row>
    <row r="44" ht="15.75" customHeight="1">
      <c r="A44" s="2"/>
      <c r="B44" s="2"/>
      <c r="C44" s="2"/>
      <c r="D44" s="2"/>
    </row>
    <row r="45" ht="15.75" customHeight="1">
      <c r="A45" s="2"/>
      <c r="B45" s="2"/>
      <c r="C45" s="2"/>
      <c r="D45" s="2"/>
    </row>
    <row r="46" ht="15.75" customHeight="1">
      <c r="A46" s="2"/>
      <c r="B46" s="2"/>
      <c r="C46" s="2"/>
      <c r="D46" s="2"/>
    </row>
    <row r="47" ht="15.75" customHeight="1">
      <c r="A47" s="2"/>
      <c r="B47" s="2"/>
      <c r="C47" s="2"/>
      <c r="D47" s="2"/>
    </row>
    <row r="48" ht="15.75" customHeight="1">
      <c r="A48" s="2"/>
      <c r="B48" s="2"/>
      <c r="C48" s="2"/>
      <c r="D48" s="2"/>
    </row>
    <row r="49" ht="15.75" customHeight="1">
      <c r="A49" s="2"/>
      <c r="B49" s="2"/>
      <c r="C49" s="2"/>
      <c r="D49" s="2"/>
    </row>
    <row r="50" ht="15.75" customHeight="1">
      <c r="A50" s="2"/>
      <c r="B50" s="2"/>
      <c r="C50" s="2"/>
      <c r="D50" s="2"/>
    </row>
    <row r="51" ht="15.75" customHeight="1">
      <c r="A51" s="2"/>
      <c r="B51" s="2"/>
      <c r="C51" s="2"/>
      <c r="D51" s="2"/>
    </row>
    <row r="52" ht="15.75" customHeight="1">
      <c r="A52" s="2"/>
      <c r="B52" s="2"/>
      <c r="C52" s="2"/>
      <c r="D52" s="2"/>
    </row>
    <row r="53" ht="15.75" customHeight="1">
      <c r="A53" s="2"/>
      <c r="B53" s="2"/>
      <c r="C53" s="2"/>
      <c r="D53" s="2"/>
    </row>
    <row r="54" ht="15.75" customHeight="1">
      <c r="A54" s="2"/>
      <c r="B54" s="2"/>
      <c r="C54" s="2"/>
      <c r="D54" s="2"/>
    </row>
    <row r="55" ht="15.75" customHeight="1">
      <c r="A55" s="2"/>
      <c r="B55" s="2"/>
      <c r="C55" s="2"/>
      <c r="D55" s="2"/>
    </row>
    <row r="56" ht="15.75" customHeight="1">
      <c r="A56" s="2"/>
      <c r="B56" s="2"/>
      <c r="C56" s="2"/>
      <c r="D56" s="2"/>
    </row>
    <row r="57" ht="15.75" customHeight="1">
      <c r="A57" s="2"/>
      <c r="B57" s="2"/>
      <c r="C57" s="2"/>
      <c r="D57" s="2"/>
    </row>
    <row r="58" ht="15.75" customHeight="1">
      <c r="A58" s="2"/>
      <c r="B58" s="2"/>
      <c r="C58" s="2"/>
      <c r="D58" s="2"/>
    </row>
    <row r="59" ht="15.75" customHeight="1">
      <c r="A59" s="2"/>
      <c r="B59" s="2"/>
      <c r="C59" s="2"/>
      <c r="D59" s="2"/>
    </row>
    <row r="60" ht="15.75" customHeight="1">
      <c r="A60" s="2"/>
      <c r="B60" s="2"/>
      <c r="C60" s="2"/>
      <c r="D60" s="2"/>
    </row>
    <row r="61" ht="15.75" customHeight="1">
      <c r="A61" s="2"/>
      <c r="B61" s="2"/>
      <c r="C61" s="2"/>
      <c r="D61" s="2"/>
    </row>
    <row r="62" ht="15.75" customHeight="1">
      <c r="A62" s="2"/>
      <c r="B62" s="2"/>
      <c r="C62" s="2"/>
      <c r="D62" s="2"/>
    </row>
    <row r="63" ht="15.75" customHeight="1">
      <c r="A63" s="2"/>
      <c r="B63" s="2"/>
      <c r="C63" s="2"/>
      <c r="D63" s="2"/>
    </row>
    <row r="64" ht="15.75" customHeight="1">
      <c r="A64" s="2"/>
      <c r="B64" s="2"/>
      <c r="C64" s="2"/>
      <c r="D64" s="2"/>
    </row>
    <row r="65" ht="15.75" customHeight="1">
      <c r="A65" s="2"/>
      <c r="B65" s="2"/>
      <c r="C65" s="2"/>
      <c r="D65" s="2"/>
    </row>
    <row r="66" ht="15.75" customHeight="1">
      <c r="A66" s="2"/>
      <c r="B66" s="2"/>
      <c r="C66" s="2"/>
      <c r="D66" s="2"/>
    </row>
    <row r="67" ht="15.75" customHeight="1">
      <c r="A67" s="2"/>
      <c r="B67" s="2"/>
      <c r="C67" s="2"/>
      <c r="D67" s="2"/>
    </row>
    <row r="68" ht="15.75" customHeight="1">
      <c r="A68" s="2"/>
      <c r="B68" s="2"/>
      <c r="C68" s="2"/>
      <c r="D68" s="2"/>
    </row>
    <row r="69" ht="15.75" customHeight="1">
      <c r="A69" s="2"/>
      <c r="B69" s="2"/>
      <c r="C69" s="2"/>
      <c r="D69" s="2"/>
    </row>
    <row r="70" ht="15.75" customHeight="1">
      <c r="A70" s="2"/>
      <c r="B70" s="2"/>
      <c r="C70" s="2"/>
      <c r="D70" s="2"/>
    </row>
    <row r="71" ht="15.75" customHeight="1">
      <c r="A71" s="2"/>
      <c r="B71" s="2"/>
      <c r="C71" s="2"/>
      <c r="D71" s="2"/>
    </row>
    <row r="72" ht="15.75" customHeight="1">
      <c r="A72" s="2"/>
      <c r="B72" s="2"/>
      <c r="C72" s="2"/>
      <c r="D72" s="2"/>
    </row>
    <row r="73" ht="15.75" customHeight="1">
      <c r="A73" s="2"/>
      <c r="B73" s="2"/>
      <c r="C73" s="2"/>
      <c r="D73" s="2"/>
    </row>
    <row r="74" ht="15.75" customHeight="1">
      <c r="A74" s="2"/>
      <c r="B74" s="2"/>
      <c r="C74" s="2"/>
      <c r="D74" s="2"/>
    </row>
    <row r="75" ht="15.75" customHeight="1">
      <c r="A75" s="2"/>
      <c r="B75" s="2"/>
      <c r="C75" s="2"/>
      <c r="D75" s="2"/>
    </row>
    <row r="76" ht="15.75" customHeight="1">
      <c r="A76" s="2"/>
      <c r="B76" s="2"/>
      <c r="C76" s="2"/>
      <c r="D76" s="2"/>
    </row>
    <row r="77" ht="15.75" customHeight="1">
      <c r="A77" s="2"/>
      <c r="B77" s="2"/>
      <c r="C77" s="2"/>
      <c r="D77" s="2"/>
    </row>
    <row r="78" ht="15.75" customHeight="1">
      <c r="A78" s="2"/>
      <c r="B78" s="2"/>
      <c r="C78" s="2"/>
      <c r="D78" s="2"/>
    </row>
    <row r="79" ht="15.75" customHeight="1">
      <c r="A79" s="2"/>
      <c r="B79" s="2"/>
      <c r="C79" s="2"/>
      <c r="D79" s="2"/>
    </row>
    <row r="80" ht="15.75" customHeight="1">
      <c r="A80" s="2"/>
      <c r="B80" s="2"/>
      <c r="C80" s="2"/>
      <c r="D80" s="2"/>
    </row>
    <row r="81" ht="15.75" customHeight="1">
      <c r="A81" s="2"/>
      <c r="B81" s="2"/>
      <c r="C81" s="2"/>
      <c r="D81" s="2"/>
    </row>
    <row r="82" ht="15.75" customHeight="1">
      <c r="A82" s="2"/>
      <c r="B82" s="2"/>
      <c r="C82" s="2"/>
      <c r="D82" s="2"/>
    </row>
    <row r="83" ht="15.75" customHeight="1">
      <c r="A83" s="2"/>
      <c r="B83" s="2"/>
      <c r="C83" s="2"/>
      <c r="D83" s="2"/>
    </row>
    <row r="84" ht="15.75" customHeight="1">
      <c r="A84" s="2"/>
      <c r="B84" s="2"/>
      <c r="C84" s="2"/>
      <c r="D84" s="2"/>
    </row>
    <row r="85" ht="15.75" customHeight="1">
      <c r="A85" s="2"/>
      <c r="B85" s="2"/>
      <c r="C85" s="2"/>
      <c r="D85" s="2"/>
    </row>
    <row r="86" ht="15.75" customHeight="1">
      <c r="A86" s="2"/>
      <c r="B86" s="2"/>
      <c r="C86" s="2"/>
      <c r="D86" s="2"/>
    </row>
    <row r="87" ht="15.75" customHeight="1">
      <c r="A87" s="2"/>
      <c r="B87" s="2"/>
      <c r="C87" s="2"/>
      <c r="D87" s="2"/>
    </row>
    <row r="88" ht="15.75" customHeight="1">
      <c r="A88" s="2"/>
      <c r="B88" s="2"/>
      <c r="C88" s="2"/>
      <c r="D88" s="2"/>
    </row>
    <row r="89" ht="15.75" customHeight="1">
      <c r="A89" s="2"/>
      <c r="B89" s="2"/>
      <c r="C89" s="2"/>
      <c r="D89" s="2"/>
    </row>
    <row r="90" ht="15.75" customHeight="1">
      <c r="A90" s="2"/>
      <c r="B90" s="2"/>
      <c r="C90" s="2"/>
      <c r="D90" s="2"/>
    </row>
    <row r="91" ht="15.75" customHeight="1">
      <c r="A91" s="2"/>
      <c r="B91" s="2"/>
      <c r="C91" s="2"/>
      <c r="D91" s="2"/>
    </row>
    <row r="92" ht="15.75" customHeight="1">
      <c r="A92" s="2"/>
      <c r="B92" s="2"/>
      <c r="C92" s="2"/>
      <c r="D92" s="2"/>
    </row>
    <row r="93" ht="15.75" customHeight="1">
      <c r="A93" s="2"/>
      <c r="B93" s="2"/>
      <c r="C93" s="2"/>
      <c r="D93" s="2"/>
    </row>
    <row r="94" ht="15.75" customHeight="1">
      <c r="A94" s="2"/>
      <c r="B94" s="2"/>
      <c r="C94" s="2"/>
      <c r="D94" s="2"/>
    </row>
    <row r="95" ht="15.75" customHeight="1">
      <c r="A95" s="2"/>
      <c r="B95" s="2"/>
      <c r="C95" s="2"/>
      <c r="D95" s="2"/>
    </row>
    <row r="96" ht="15.75" customHeight="1">
      <c r="A96" s="2"/>
      <c r="B96" s="2"/>
      <c r="C96" s="2"/>
      <c r="D96" s="2"/>
    </row>
    <row r="97" ht="15.75" customHeight="1">
      <c r="A97" s="2"/>
      <c r="B97" s="2"/>
      <c r="C97" s="2"/>
      <c r="D97" s="2"/>
    </row>
    <row r="98" ht="15.75" customHeight="1">
      <c r="A98" s="2"/>
      <c r="B98" s="2"/>
      <c r="C98" s="2"/>
      <c r="D98" s="2"/>
    </row>
    <row r="99" ht="15.75" customHeight="1">
      <c r="A99" s="2"/>
      <c r="B99" s="2"/>
      <c r="C99" s="2"/>
      <c r="D99" s="2"/>
    </row>
    <row r="100" ht="15.75" customHeight="1">
      <c r="A100" s="2"/>
      <c r="B100" s="2"/>
      <c r="C100" s="2"/>
      <c r="D100" s="2"/>
    </row>
    <row r="101" ht="15.75" customHeight="1">
      <c r="A101" s="2"/>
      <c r="B101" s="2"/>
      <c r="C101" s="2"/>
      <c r="D101" s="2"/>
    </row>
    <row r="102" ht="15.75" customHeight="1">
      <c r="A102" s="2"/>
      <c r="B102" s="2"/>
      <c r="C102" s="2"/>
      <c r="D102" s="2"/>
    </row>
    <row r="103" ht="15.75" customHeight="1">
      <c r="A103" s="2"/>
      <c r="B103" s="2"/>
      <c r="C103" s="2"/>
      <c r="D103" s="2"/>
    </row>
    <row r="104" ht="15.75" customHeight="1">
      <c r="A104" s="2"/>
      <c r="B104" s="2"/>
      <c r="C104" s="2"/>
      <c r="D104" s="2"/>
    </row>
    <row r="105" ht="15.75" customHeight="1">
      <c r="A105" s="2"/>
      <c r="B105" s="2"/>
      <c r="C105" s="2"/>
      <c r="D105" s="2"/>
    </row>
    <row r="106" ht="15.75" customHeight="1">
      <c r="A106" s="2"/>
      <c r="B106" s="2"/>
      <c r="C106" s="2"/>
      <c r="D106" s="2"/>
    </row>
    <row r="107" ht="15.75" customHeight="1">
      <c r="A107" s="2"/>
      <c r="B107" s="2"/>
      <c r="C107" s="2"/>
      <c r="D107" s="2"/>
    </row>
    <row r="108" ht="15.75" customHeight="1">
      <c r="A108" s="2"/>
      <c r="B108" s="2"/>
      <c r="C108" s="2"/>
      <c r="D108" s="2"/>
    </row>
    <row r="109" ht="15.75" customHeight="1">
      <c r="A109" s="2"/>
      <c r="B109" s="2"/>
      <c r="C109" s="2"/>
      <c r="D109" s="2"/>
    </row>
    <row r="110" ht="15.75" customHeight="1">
      <c r="A110" s="2"/>
      <c r="B110" s="2"/>
      <c r="C110" s="2"/>
      <c r="D110" s="2"/>
    </row>
    <row r="111" ht="15.75" customHeight="1">
      <c r="A111" s="2"/>
      <c r="B111" s="2"/>
      <c r="C111" s="2"/>
      <c r="D111" s="2"/>
    </row>
    <row r="112" ht="15.75" customHeight="1">
      <c r="A112" s="2"/>
      <c r="B112" s="2"/>
      <c r="C112" s="2"/>
      <c r="D112" s="2"/>
    </row>
    <row r="113" ht="15.75" customHeight="1">
      <c r="A113" s="2"/>
      <c r="B113" s="2"/>
      <c r="C113" s="2"/>
      <c r="D113" s="2"/>
    </row>
    <row r="114" ht="15.75" customHeight="1">
      <c r="A114" s="2"/>
      <c r="B114" s="2"/>
      <c r="C114" s="2"/>
      <c r="D114" s="2"/>
    </row>
    <row r="115" ht="15.75" customHeight="1">
      <c r="A115" s="2"/>
      <c r="B115" s="2"/>
      <c r="C115" s="2"/>
      <c r="D115" s="2"/>
    </row>
    <row r="116" ht="15.75" customHeight="1">
      <c r="A116" s="2"/>
      <c r="B116" s="2"/>
      <c r="C116" s="2"/>
      <c r="D116" s="2"/>
    </row>
    <row r="117" ht="15.75" customHeight="1">
      <c r="A117" s="2"/>
      <c r="B117" s="2"/>
      <c r="C117" s="2"/>
      <c r="D117" s="2"/>
    </row>
    <row r="118" ht="15.75" customHeight="1">
      <c r="A118" s="2"/>
      <c r="B118" s="2"/>
      <c r="C118" s="2"/>
      <c r="D118" s="2"/>
    </row>
    <row r="119" ht="15.75" customHeight="1">
      <c r="A119" s="2"/>
      <c r="B119" s="2"/>
      <c r="C119" s="2"/>
      <c r="D119" s="2"/>
    </row>
    <row r="120" ht="15.75" customHeight="1">
      <c r="A120" s="2"/>
      <c r="B120" s="2"/>
      <c r="C120" s="2"/>
      <c r="D120" s="2"/>
    </row>
    <row r="121" ht="15.75" customHeight="1">
      <c r="A121" s="2"/>
      <c r="B121" s="2"/>
      <c r="C121" s="2"/>
      <c r="D121" s="2"/>
    </row>
    <row r="122" ht="15.75" customHeight="1">
      <c r="A122" s="2"/>
      <c r="B122" s="2"/>
      <c r="C122" s="2"/>
      <c r="D122" s="2"/>
    </row>
    <row r="123" ht="15.75" customHeight="1">
      <c r="A123" s="2"/>
      <c r="B123" s="2"/>
      <c r="C123" s="2"/>
      <c r="D123" s="2"/>
    </row>
    <row r="124" ht="15.75" customHeight="1">
      <c r="A124" s="2"/>
      <c r="B124" s="2"/>
      <c r="C124" s="2"/>
      <c r="D124" s="2"/>
    </row>
    <row r="125" ht="15.75" customHeight="1">
      <c r="A125" s="2"/>
      <c r="B125" s="2"/>
      <c r="C125" s="2"/>
      <c r="D125" s="2"/>
    </row>
    <row r="126" ht="15.75" customHeight="1">
      <c r="A126" s="2"/>
      <c r="B126" s="2"/>
      <c r="C126" s="2"/>
      <c r="D126" s="2"/>
    </row>
    <row r="127" ht="15.75" customHeight="1">
      <c r="A127" s="2"/>
      <c r="B127" s="2"/>
      <c r="C127" s="2"/>
      <c r="D127" s="2"/>
    </row>
    <row r="128" ht="15.75" customHeight="1">
      <c r="A128" s="2"/>
      <c r="B128" s="2"/>
      <c r="C128" s="2"/>
      <c r="D128" s="2"/>
    </row>
    <row r="129" ht="15.75" customHeight="1">
      <c r="A129" s="2"/>
      <c r="B129" s="2"/>
      <c r="C129" s="2"/>
      <c r="D129" s="2"/>
    </row>
    <row r="130" ht="15.75" customHeight="1">
      <c r="A130" s="2"/>
      <c r="B130" s="2"/>
      <c r="C130" s="2"/>
      <c r="D130" s="2"/>
    </row>
    <row r="131" ht="15.75" customHeight="1">
      <c r="A131" s="2"/>
      <c r="B131" s="2"/>
      <c r="C131" s="2"/>
      <c r="D131" s="2"/>
    </row>
    <row r="132" ht="15.75" customHeight="1">
      <c r="A132" s="2"/>
      <c r="B132" s="2"/>
      <c r="C132" s="2"/>
      <c r="D132" s="2"/>
    </row>
    <row r="133" ht="15.75" customHeight="1">
      <c r="A133" s="2"/>
      <c r="B133" s="2"/>
      <c r="C133" s="2"/>
      <c r="D133" s="2"/>
    </row>
    <row r="134" ht="15.75" customHeight="1">
      <c r="A134" s="2"/>
      <c r="B134" s="2"/>
      <c r="C134" s="2"/>
      <c r="D134" s="2"/>
    </row>
    <row r="135" ht="15.75" customHeight="1">
      <c r="A135" s="2"/>
      <c r="B135" s="2"/>
      <c r="C135" s="2"/>
      <c r="D135" s="2"/>
    </row>
    <row r="136" ht="15.75" customHeight="1">
      <c r="A136" s="2"/>
      <c r="B136" s="2"/>
      <c r="C136" s="2"/>
      <c r="D136" s="2"/>
    </row>
    <row r="137" ht="15.75" customHeight="1">
      <c r="A137" s="2"/>
      <c r="B137" s="2"/>
      <c r="C137" s="2"/>
      <c r="D137" s="2"/>
    </row>
    <row r="138" ht="15.75" customHeight="1">
      <c r="A138" s="2"/>
      <c r="B138" s="2"/>
      <c r="C138" s="2"/>
      <c r="D138" s="2"/>
    </row>
    <row r="139" ht="15.75" customHeight="1">
      <c r="A139" s="2"/>
      <c r="B139" s="2"/>
      <c r="C139" s="2"/>
      <c r="D139" s="2"/>
    </row>
    <row r="140" ht="15.75" customHeight="1">
      <c r="A140" s="2"/>
      <c r="B140" s="2"/>
      <c r="C140" s="2"/>
      <c r="D140" s="2"/>
    </row>
    <row r="141" ht="15.75" customHeight="1">
      <c r="A141" s="2"/>
      <c r="B141" s="2"/>
      <c r="C141" s="2"/>
      <c r="D141" s="2"/>
    </row>
    <row r="142" ht="15.75" customHeight="1">
      <c r="A142" s="2"/>
      <c r="B142" s="2"/>
      <c r="C142" s="2"/>
      <c r="D142" s="2"/>
    </row>
    <row r="143" ht="15.75" customHeight="1">
      <c r="A143" s="2"/>
      <c r="B143" s="2"/>
      <c r="C143" s="2"/>
      <c r="D143" s="2"/>
    </row>
    <row r="144" ht="15.75" customHeight="1">
      <c r="A144" s="2"/>
      <c r="B144" s="2"/>
      <c r="C144" s="2"/>
      <c r="D144" s="2"/>
    </row>
    <row r="145" ht="15.75" customHeight="1">
      <c r="A145" s="2"/>
      <c r="B145" s="2"/>
      <c r="C145" s="2"/>
      <c r="D145" s="2"/>
    </row>
    <row r="146" ht="15.75" customHeight="1">
      <c r="A146" s="2"/>
      <c r="B146" s="2"/>
      <c r="C146" s="2"/>
      <c r="D146" s="2"/>
    </row>
    <row r="147" ht="15.75" customHeight="1">
      <c r="A147" s="2"/>
      <c r="B147" s="2"/>
      <c r="C147" s="2"/>
      <c r="D147" s="2"/>
    </row>
    <row r="148" ht="15.75" customHeight="1">
      <c r="A148" s="2"/>
      <c r="B148" s="2"/>
      <c r="C148" s="2"/>
      <c r="D148" s="2"/>
    </row>
    <row r="149" ht="15.75" customHeight="1">
      <c r="A149" s="2"/>
      <c r="B149" s="2"/>
      <c r="C149" s="2"/>
      <c r="D149" s="2"/>
    </row>
    <row r="150" ht="15.75" customHeight="1">
      <c r="A150" s="2"/>
      <c r="B150" s="2"/>
      <c r="C150" s="2"/>
      <c r="D150" s="2"/>
    </row>
    <row r="151" ht="15.75" customHeight="1">
      <c r="A151" s="2"/>
      <c r="B151" s="2"/>
      <c r="C151" s="2"/>
      <c r="D151" s="2"/>
    </row>
    <row r="152" ht="15.75" customHeight="1">
      <c r="A152" s="2"/>
      <c r="B152" s="2"/>
      <c r="C152" s="2"/>
      <c r="D152" s="2"/>
    </row>
    <row r="153" ht="15.75" customHeight="1">
      <c r="A153" s="2"/>
      <c r="B153" s="2"/>
      <c r="C153" s="2"/>
      <c r="D153" s="2"/>
    </row>
    <row r="154" ht="15.75" customHeight="1">
      <c r="A154" s="2"/>
      <c r="B154" s="2"/>
      <c r="C154" s="2"/>
      <c r="D154" s="2"/>
    </row>
    <row r="155" ht="15.75" customHeight="1">
      <c r="A155" s="2"/>
      <c r="B155" s="2"/>
      <c r="C155" s="2"/>
      <c r="D155" s="2"/>
    </row>
    <row r="156" ht="15.75" customHeight="1">
      <c r="A156" s="2"/>
      <c r="B156" s="2"/>
      <c r="C156" s="2"/>
      <c r="D156" s="2"/>
    </row>
    <row r="157" ht="15.75" customHeight="1">
      <c r="A157" s="2"/>
      <c r="B157" s="2"/>
      <c r="C157" s="2"/>
      <c r="D157" s="2"/>
    </row>
    <row r="158" ht="15.75" customHeight="1">
      <c r="A158" s="2"/>
      <c r="B158" s="2"/>
      <c r="C158" s="2"/>
      <c r="D158" s="2"/>
    </row>
    <row r="159" ht="15.75" customHeight="1">
      <c r="A159" s="2"/>
      <c r="B159" s="2"/>
      <c r="C159" s="2"/>
      <c r="D159" s="2"/>
    </row>
    <row r="160" ht="15.75" customHeight="1">
      <c r="A160" s="2"/>
      <c r="B160" s="2"/>
      <c r="C160" s="2"/>
      <c r="D160" s="2"/>
    </row>
    <row r="161" ht="15.75" customHeight="1">
      <c r="A161" s="2"/>
      <c r="B161" s="2"/>
      <c r="C161" s="2"/>
      <c r="D161" s="2"/>
    </row>
    <row r="162" ht="15.75" customHeight="1">
      <c r="A162" s="2"/>
      <c r="B162" s="2"/>
      <c r="C162" s="2"/>
      <c r="D162" s="2"/>
    </row>
    <row r="163" ht="15.75" customHeight="1">
      <c r="A163" s="2"/>
      <c r="B163" s="2"/>
      <c r="C163" s="2"/>
      <c r="D163" s="2"/>
    </row>
    <row r="164" ht="15.75" customHeight="1">
      <c r="A164" s="2"/>
      <c r="B164" s="2"/>
      <c r="C164" s="2"/>
      <c r="D164" s="2"/>
    </row>
    <row r="165" ht="15.75" customHeight="1">
      <c r="A165" s="2"/>
      <c r="B165" s="2"/>
      <c r="C165" s="2"/>
      <c r="D165" s="2"/>
    </row>
    <row r="166" ht="15.75" customHeight="1">
      <c r="A166" s="2"/>
      <c r="B166" s="2"/>
      <c r="C166" s="2"/>
      <c r="D166" s="2"/>
    </row>
    <row r="167" ht="15.75" customHeight="1">
      <c r="A167" s="2"/>
      <c r="B167" s="2"/>
      <c r="C167" s="2"/>
      <c r="D167" s="2"/>
    </row>
    <row r="168" ht="15.75" customHeight="1">
      <c r="A168" s="2"/>
      <c r="B168" s="2"/>
      <c r="C168" s="2"/>
      <c r="D168" s="2"/>
    </row>
    <row r="169" ht="15.75" customHeight="1">
      <c r="A169" s="2"/>
      <c r="B169" s="2"/>
      <c r="C169" s="2"/>
      <c r="D169" s="2"/>
    </row>
    <row r="170" ht="15.75" customHeight="1">
      <c r="A170" s="2"/>
      <c r="B170" s="2"/>
      <c r="C170" s="2"/>
      <c r="D170" s="2"/>
    </row>
    <row r="171" ht="15.75" customHeight="1">
      <c r="A171" s="2"/>
      <c r="B171" s="2"/>
      <c r="C171" s="2"/>
      <c r="D171" s="2"/>
    </row>
    <row r="172" ht="15.75" customHeight="1">
      <c r="A172" s="2"/>
      <c r="B172" s="2"/>
      <c r="C172" s="2"/>
      <c r="D172" s="2"/>
    </row>
    <row r="173" ht="15.75" customHeight="1">
      <c r="A173" s="2"/>
      <c r="B173" s="2"/>
      <c r="C173" s="2"/>
      <c r="D173" s="2"/>
    </row>
    <row r="174" ht="15.75" customHeight="1">
      <c r="A174" s="2"/>
      <c r="B174" s="2"/>
      <c r="C174" s="2"/>
      <c r="D174" s="2"/>
    </row>
    <row r="175" ht="15.75" customHeight="1">
      <c r="A175" s="2"/>
      <c r="B175" s="2"/>
      <c r="C175" s="2"/>
      <c r="D175" s="2"/>
    </row>
    <row r="176" ht="15.75" customHeight="1">
      <c r="A176" s="2"/>
      <c r="B176" s="2"/>
      <c r="C176" s="2"/>
      <c r="D176" s="2"/>
    </row>
    <row r="177" ht="15.75" customHeight="1">
      <c r="A177" s="2"/>
      <c r="B177" s="2"/>
      <c r="C177" s="2"/>
      <c r="D177" s="2"/>
    </row>
    <row r="178" ht="15.75" customHeight="1">
      <c r="A178" s="2"/>
      <c r="B178" s="2"/>
      <c r="C178" s="2"/>
      <c r="D178" s="2"/>
    </row>
    <row r="179" ht="15.75" customHeight="1">
      <c r="A179" s="2"/>
      <c r="B179" s="2"/>
      <c r="C179" s="2"/>
      <c r="D179" s="2"/>
    </row>
    <row r="180" ht="15.75" customHeight="1">
      <c r="A180" s="2"/>
      <c r="B180" s="2"/>
      <c r="C180" s="2"/>
      <c r="D180" s="2"/>
    </row>
    <row r="181" ht="15.75" customHeight="1">
      <c r="A181" s="2"/>
      <c r="B181" s="2"/>
      <c r="C181" s="2"/>
      <c r="D181" s="2"/>
    </row>
    <row r="182" ht="15.75" customHeight="1">
      <c r="A182" s="2"/>
      <c r="B182" s="2"/>
      <c r="C182" s="2"/>
      <c r="D182" s="2"/>
    </row>
    <row r="183" ht="15.75" customHeight="1">
      <c r="A183" s="2"/>
      <c r="B183" s="2"/>
      <c r="C183" s="2"/>
      <c r="D183" s="2"/>
    </row>
    <row r="184" ht="15.75" customHeight="1">
      <c r="A184" s="2"/>
      <c r="B184" s="2"/>
      <c r="C184" s="2"/>
      <c r="D184" s="2"/>
    </row>
    <row r="185" ht="15.75" customHeight="1">
      <c r="A185" s="2"/>
      <c r="B185" s="2"/>
      <c r="C185" s="2"/>
      <c r="D185" s="2"/>
    </row>
    <row r="186" ht="15.75" customHeight="1">
      <c r="A186" s="2"/>
      <c r="B186" s="2"/>
      <c r="C186" s="2"/>
      <c r="D186" s="2"/>
    </row>
    <row r="187" ht="15.75" customHeight="1">
      <c r="A187" s="2"/>
      <c r="B187" s="2"/>
      <c r="C187" s="2"/>
      <c r="D187" s="2"/>
    </row>
    <row r="188" ht="15.75" customHeight="1">
      <c r="A188" s="2"/>
      <c r="B188" s="2"/>
      <c r="C188" s="2"/>
      <c r="D188" s="2"/>
    </row>
    <row r="189" ht="15.75" customHeight="1">
      <c r="A189" s="2"/>
      <c r="B189" s="2"/>
      <c r="C189" s="2"/>
      <c r="D189" s="2"/>
    </row>
    <row r="190" ht="15.75" customHeight="1">
      <c r="A190" s="2"/>
      <c r="B190" s="2"/>
      <c r="C190" s="2"/>
      <c r="D190" s="2"/>
    </row>
    <row r="191" ht="15.75" customHeight="1">
      <c r="A191" s="2"/>
      <c r="B191" s="2"/>
      <c r="C191" s="2"/>
      <c r="D191" s="2"/>
    </row>
    <row r="192" ht="15.75" customHeight="1">
      <c r="A192" s="2"/>
      <c r="B192" s="2"/>
      <c r="C192" s="2"/>
      <c r="D192" s="2"/>
    </row>
    <row r="193" ht="15.75" customHeight="1">
      <c r="A193" s="2"/>
      <c r="B193" s="2"/>
      <c r="C193" s="2"/>
      <c r="D193" s="2"/>
    </row>
    <row r="194" ht="15.75" customHeight="1">
      <c r="A194" s="2"/>
      <c r="B194" s="2"/>
      <c r="C194" s="2"/>
      <c r="D194" s="2"/>
    </row>
    <row r="195" ht="15.75" customHeight="1">
      <c r="A195" s="2"/>
      <c r="B195" s="2"/>
      <c r="C195" s="2"/>
      <c r="D195" s="2"/>
    </row>
    <row r="196" ht="15.75" customHeight="1">
      <c r="A196" s="2"/>
      <c r="B196" s="2"/>
      <c r="C196" s="2"/>
      <c r="D196" s="2"/>
    </row>
    <row r="197" ht="15.75" customHeight="1">
      <c r="A197" s="2"/>
      <c r="B197" s="2"/>
      <c r="C197" s="2"/>
      <c r="D197" s="2"/>
    </row>
    <row r="198" ht="15.75" customHeight="1">
      <c r="A198" s="2"/>
      <c r="B198" s="2"/>
      <c r="C198" s="2"/>
      <c r="D198" s="2"/>
    </row>
    <row r="199" ht="15.75" customHeight="1">
      <c r="A199" s="2"/>
      <c r="B199" s="2"/>
      <c r="C199" s="2"/>
      <c r="D199" s="2"/>
    </row>
    <row r="200" ht="15.75" customHeight="1">
      <c r="A200" s="2"/>
      <c r="B200" s="2"/>
      <c r="C200" s="2"/>
      <c r="D200" s="2"/>
    </row>
    <row r="201" ht="15.75" customHeight="1">
      <c r="A201" s="2"/>
      <c r="B201" s="2"/>
      <c r="C201" s="2"/>
      <c r="D201" s="2"/>
    </row>
    <row r="202" ht="15.75" customHeight="1">
      <c r="A202" s="2"/>
      <c r="B202" s="2"/>
      <c r="C202" s="2"/>
      <c r="D202" s="2"/>
    </row>
    <row r="203" ht="15.75" customHeight="1">
      <c r="A203" s="2"/>
      <c r="B203" s="2"/>
      <c r="C203" s="2"/>
      <c r="D203" s="2"/>
    </row>
    <row r="204" ht="15.75" customHeight="1">
      <c r="A204" s="2"/>
      <c r="B204" s="2"/>
      <c r="C204" s="2"/>
      <c r="D204" s="2"/>
    </row>
    <row r="205" ht="15.75" customHeight="1">
      <c r="A205" s="2"/>
      <c r="B205" s="2"/>
      <c r="C205" s="2"/>
      <c r="D205" s="2"/>
    </row>
    <row r="206" ht="15.75" customHeight="1">
      <c r="A206" s="2"/>
      <c r="B206" s="2"/>
      <c r="C206" s="2"/>
      <c r="D206" s="2"/>
    </row>
    <row r="207" ht="15.75" customHeight="1">
      <c r="A207" s="2"/>
      <c r="B207" s="2"/>
      <c r="C207" s="2"/>
      <c r="D207" s="2"/>
    </row>
    <row r="208" ht="15.75" customHeight="1">
      <c r="A208" s="2"/>
      <c r="B208" s="2"/>
      <c r="C208" s="2"/>
      <c r="D208" s="2"/>
    </row>
    <row r="209" ht="15.75" customHeight="1">
      <c r="A209" s="2"/>
      <c r="B209" s="2"/>
      <c r="C209" s="2"/>
      <c r="D209" s="2"/>
    </row>
    <row r="210" ht="15.75" customHeight="1">
      <c r="A210" s="2"/>
      <c r="B210" s="2"/>
      <c r="C210" s="2"/>
      <c r="D210" s="2"/>
    </row>
    <row r="211" ht="15.75" customHeight="1">
      <c r="A211" s="2"/>
      <c r="B211" s="2"/>
      <c r="C211" s="2"/>
      <c r="D211" s="2"/>
    </row>
    <row r="212" ht="15.75" customHeight="1">
      <c r="A212" s="2"/>
      <c r="B212" s="2"/>
      <c r="C212" s="2"/>
      <c r="D212" s="2"/>
    </row>
    <row r="213" ht="15.75" customHeight="1">
      <c r="A213" s="2"/>
      <c r="B213" s="2"/>
      <c r="C213" s="2"/>
      <c r="D213" s="2"/>
    </row>
    <row r="214" ht="15.75" customHeight="1">
      <c r="A214" s="2"/>
      <c r="B214" s="2"/>
      <c r="C214" s="2"/>
      <c r="D214" s="2"/>
    </row>
    <row r="215" ht="15.75" customHeight="1">
      <c r="A215" s="2"/>
      <c r="B215" s="2"/>
      <c r="C215" s="2"/>
      <c r="D215" s="2"/>
    </row>
    <row r="216" ht="15.75" customHeight="1">
      <c r="A216" s="2"/>
      <c r="B216" s="2"/>
      <c r="C216" s="2"/>
      <c r="D216" s="2"/>
    </row>
    <row r="217" ht="15.75" customHeight="1">
      <c r="A217" s="2"/>
      <c r="B217" s="2"/>
      <c r="C217" s="2"/>
      <c r="D217" s="2"/>
    </row>
    <row r="218" ht="15.75" customHeight="1">
      <c r="A218" s="2"/>
      <c r="B218" s="2"/>
      <c r="C218" s="2"/>
      <c r="D218" s="2"/>
    </row>
    <row r="219" ht="15.75" customHeight="1">
      <c r="A219" s="2"/>
      <c r="B219" s="2"/>
      <c r="C219" s="2"/>
      <c r="D219" s="2"/>
    </row>
    <row r="220" ht="15.75" customHeight="1">
      <c r="A220" s="2"/>
      <c r="B220" s="2"/>
      <c r="C220" s="2"/>
      <c r="D220" s="2"/>
    </row>
    <row r="221" ht="15.75" customHeight="1">
      <c r="A221" s="2"/>
      <c r="B221" s="2"/>
      <c r="C221" s="2"/>
      <c r="D221" s="2"/>
    </row>
    <row r="222" ht="15.75" customHeight="1">
      <c r="A222" s="2"/>
      <c r="B222" s="2"/>
      <c r="C222" s="2"/>
      <c r="D222" s="2"/>
    </row>
    <row r="223" ht="15.75" customHeight="1">
      <c r="A223" s="2"/>
      <c r="B223" s="2"/>
      <c r="C223" s="2"/>
      <c r="D223" s="2"/>
    </row>
    <row r="224" ht="15.75" customHeight="1">
      <c r="A224" s="2"/>
      <c r="B224" s="2"/>
      <c r="C224" s="2"/>
      <c r="D224" s="2"/>
    </row>
    <row r="225" ht="15.75" customHeight="1">
      <c r="A225" s="2"/>
      <c r="B225" s="2"/>
      <c r="C225" s="2"/>
      <c r="D225" s="2"/>
    </row>
    <row r="226" ht="15.75" customHeight="1">
      <c r="A226" s="2"/>
      <c r="B226" s="2"/>
      <c r="C226" s="2"/>
      <c r="D226" s="2"/>
    </row>
    <row r="227" ht="15.75" customHeight="1">
      <c r="A227" s="2"/>
      <c r="B227" s="2"/>
      <c r="C227" s="2"/>
      <c r="D227" s="2"/>
    </row>
    <row r="228" ht="15.75" customHeight="1">
      <c r="A228" s="2"/>
      <c r="B228" s="2"/>
      <c r="C228" s="2"/>
      <c r="D228" s="2"/>
    </row>
    <row r="229" ht="15.75" customHeight="1">
      <c r="A229" s="2"/>
      <c r="B229" s="2"/>
      <c r="C229" s="2"/>
      <c r="D229" s="2"/>
    </row>
    <row r="230" ht="15.75" customHeight="1">
      <c r="A230" s="2"/>
      <c r="B230" s="2"/>
      <c r="C230" s="2"/>
      <c r="D230" s="2"/>
    </row>
    <row r="231" ht="15.75" customHeight="1">
      <c r="A231" s="2"/>
      <c r="B231" s="2"/>
      <c r="C231" s="2"/>
      <c r="D231" s="2"/>
    </row>
    <row r="232" ht="15.75" customHeight="1">
      <c r="A232" s="2"/>
      <c r="B232" s="2"/>
      <c r="C232" s="2"/>
      <c r="D232" s="2"/>
    </row>
    <row r="233" ht="15.75" customHeight="1">
      <c r="A233" s="2"/>
      <c r="B233" s="2"/>
      <c r="C233" s="2"/>
      <c r="D233" s="2"/>
    </row>
    <row r="234" ht="15.75" customHeight="1">
      <c r="A234" s="2"/>
      <c r="B234" s="2"/>
      <c r="C234" s="2"/>
      <c r="D234" s="2"/>
    </row>
    <row r="235" ht="15.75" customHeight="1">
      <c r="A235" s="2"/>
      <c r="B235" s="2"/>
      <c r="C235" s="2"/>
      <c r="D235" s="2"/>
    </row>
    <row r="236" ht="15.75" customHeight="1">
      <c r="A236" s="2"/>
      <c r="B236" s="2"/>
      <c r="C236" s="2"/>
      <c r="D236" s="2"/>
    </row>
    <row r="237" ht="15.75" customHeight="1">
      <c r="A237" s="2"/>
      <c r="B237" s="2"/>
      <c r="C237" s="2"/>
      <c r="D237" s="2"/>
    </row>
    <row r="238" ht="15.75" customHeight="1">
      <c r="A238" s="2"/>
      <c r="B238" s="2"/>
      <c r="C238" s="2"/>
      <c r="D238" s="2"/>
    </row>
    <row r="239" ht="15.75" customHeight="1">
      <c r="A239" s="2"/>
      <c r="B239" s="2"/>
      <c r="C239" s="2"/>
      <c r="D239" s="2"/>
    </row>
    <row r="240" ht="15.75" customHeight="1">
      <c r="A240" s="2"/>
      <c r="B240" s="2"/>
      <c r="C240" s="2"/>
      <c r="D240" s="2"/>
    </row>
    <row r="241" ht="15.75" customHeight="1">
      <c r="A241" s="2"/>
      <c r="B241" s="2"/>
      <c r="C241" s="2"/>
      <c r="D241" s="2"/>
    </row>
    <row r="242" ht="15.75" customHeight="1">
      <c r="A242" s="2"/>
      <c r="B242" s="2"/>
      <c r="C242" s="2"/>
      <c r="D242" s="2"/>
    </row>
    <row r="243" ht="15.75" customHeight="1">
      <c r="A243" s="2"/>
      <c r="B243" s="2"/>
      <c r="C243" s="2"/>
      <c r="D243" s="2"/>
    </row>
    <row r="244" ht="15.75" customHeight="1">
      <c r="A244" s="2"/>
      <c r="B244" s="2"/>
      <c r="C244" s="2"/>
      <c r="D244" s="2"/>
    </row>
    <row r="245" ht="15.75" customHeight="1">
      <c r="A245" s="2"/>
      <c r="B245" s="2"/>
      <c r="C245" s="2"/>
      <c r="D245" s="2"/>
    </row>
    <row r="246" ht="15.75" customHeight="1">
      <c r="A246" s="2"/>
      <c r="B246" s="2"/>
      <c r="C246" s="2"/>
      <c r="D246" s="2"/>
    </row>
    <row r="247" ht="15.75" customHeight="1">
      <c r="A247" s="2"/>
      <c r="B247" s="2"/>
      <c r="C247" s="2"/>
      <c r="D247" s="2"/>
    </row>
    <row r="248" ht="15.75" customHeight="1">
      <c r="A248" s="2"/>
      <c r="B248" s="2"/>
      <c r="C248" s="2"/>
      <c r="D248" s="2"/>
    </row>
    <row r="249" ht="15.75" customHeight="1">
      <c r="A249" s="2"/>
      <c r="B249" s="2"/>
      <c r="C249" s="2"/>
      <c r="D249" s="2"/>
    </row>
    <row r="250" ht="15.75" customHeight="1">
      <c r="A250" s="2"/>
      <c r="B250" s="2"/>
      <c r="C250" s="2"/>
      <c r="D250" s="2"/>
    </row>
    <row r="251" ht="15.75" customHeight="1">
      <c r="A251" s="2"/>
      <c r="B251" s="2"/>
      <c r="C251" s="2"/>
      <c r="D251" s="2"/>
    </row>
    <row r="252" ht="15.75" customHeight="1">
      <c r="A252" s="2"/>
      <c r="B252" s="2"/>
      <c r="C252" s="2"/>
      <c r="D252" s="2"/>
    </row>
    <row r="253" ht="15.75" customHeight="1">
      <c r="A253" s="2"/>
      <c r="B253" s="2"/>
      <c r="C253" s="2"/>
      <c r="D253" s="2"/>
    </row>
    <row r="254" ht="15.75" customHeight="1">
      <c r="A254" s="2"/>
      <c r="B254" s="2"/>
      <c r="C254" s="2"/>
      <c r="D254" s="2"/>
    </row>
    <row r="255" ht="15.75" customHeight="1">
      <c r="A255" s="2"/>
      <c r="B255" s="2"/>
      <c r="C255" s="2"/>
      <c r="D255" s="2"/>
    </row>
    <row r="256" ht="15.75" customHeight="1">
      <c r="A256" s="2"/>
      <c r="B256" s="2"/>
      <c r="C256" s="2"/>
      <c r="D256" s="2"/>
    </row>
    <row r="257" ht="15.75" customHeight="1">
      <c r="A257" s="2"/>
      <c r="B257" s="2"/>
      <c r="C257" s="2"/>
      <c r="D257" s="2"/>
    </row>
    <row r="258" ht="15.75" customHeight="1">
      <c r="A258" s="2"/>
      <c r="B258" s="2"/>
      <c r="C258" s="2"/>
      <c r="D258" s="2"/>
    </row>
    <row r="259" ht="15.75" customHeight="1">
      <c r="A259" s="2"/>
      <c r="B259" s="2"/>
      <c r="C259" s="2"/>
      <c r="D259" s="2"/>
    </row>
    <row r="260" ht="15.75" customHeight="1">
      <c r="A260" s="2"/>
      <c r="B260" s="2"/>
      <c r="C260" s="2"/>
      <c r="D260" s="2"/>
    </row>
    <row r="261" ht="15.75" customHeight="1">
      <c r="A261" s="2"/>
      <c r="B261" s="2"/>
      <c r="C261" s="2"/>
      <c r="D261" s="2"/>
    </row>
    <row r="262" ht="15.75" customHeight="1">
      <c r="A262" s="2"/>
      <c r="B262" s="2"/>
      <c r="C262" s="2"/>
      <c r="D262" s="2"/>
    </row>
    <row r="263" ht="15.75" customHeight="1">
      <c r="A263" s="2"/>
      <c r="B263" s="2"/>
      <c r="C263" s="2"/>
      <c r="D263" s="2"/>
    </row>
    <row r="264" ht="15.75" customHeight="1">
      <c r="A264" s="2"/>
      <c r="B264" s="2"/>
      <c r="C264" s="2"/>
      <c r="D264" s="2"/>
    </row>
    <row r="265" ht="15.75" customHeight="1">
      <c r="A265" s="2"/>
      <c r="B265" s="2"/>
      <c r="C265" s="2"/>
      <c r="D265" s="2"/>
    </row>
    <row r="266" ht="15.75" customHeight="1">
      <c r="A266" s="2"/>
      <c r="B266" s="2"/>
      <c r="C266" s="2"/>
      <c r="D266" s="2"/>
    </row>
    <row r="267" ht="15.75" customHeight="1">
      <c r="A267" s="2"/>
      <c r="B267" s="2"/>
      <c r="C267" s="2"/>
      <c r="D267" s="2"/>
    </row>
    <row r="268" ht="15.75" customHeight="1">
      <c r="A268" s="2"/>
      <c r="B268" s="2"/>
      <c r="C268" s="2"/>
      <c r="D268" s="2"/>
    </row>
    <row r="269" ht="15.75" customHeight="1">
      <c r="A269" s="2"/>
      <c r="B269" s="2"/>
      <c r="C269" s="2"/>
      <c r="D269" s="2"/>
    </row>
    <row r="270" ht="15.75" customHeight="1">
      <c r="A270" s="2"/>
      <c r="B270" s="2"/>
      <c r="C270" s="2"/>
      <c r="D270" s="2"/>
    </row>
    <row r="271" ht="15.75" customHeight="1">
      <c r="A271" s="2"/>
      <c r="B271" s="2"/>
      <c r="C271" s="2"/>
      <c r="D271" s="2"/>
    </row>
    <row r="272" ht="15.75" customHeight="1">
      <c r="A272" s="2"/>
      <c r="B272" s="2"/>
      <c r="C272" s="2"/>
      <c r="D272" s="2"/>
    </row>
    <row r="273" ht="15.75" customHeight="1">
      <c r="A273" s="2"/>
      <c r="B273" s="2"/>
      <c r="C273" s="2"/>
      <c r="D273" s="2"/>
    </row>
    <row r="274" ht="15.75" customHeight="1">
      <c r="A274" s="2"/>
      <c r="B274" s="2"/>
      <c r="C274" s="2"/>
      <c r="D274" s="2"/>
    </row>
    <row r="275" ht="15.75" customHeight="1">
      <c r="A275" s="2"/>
      <c r="B275" s="2"/>
      <c r="C275" s="2"/>
      <c r="D275" s="2"/>
    </row>
    <row r="276" ht="15.75" customHeight="1">
      <c r="A276" s="2"/>
      <c r="B276" s="2"/>
      <c r="C276" s="2"/>
      <c r="D276" s="2"/>
    </row>
    <row r="277" ht="15.75" customHeight="1">
      <c r="A277" s="2"/>
      <c r="B277" s="2"/>
      <c r="C277" s="2"/>
      <c r="D277" s="2"/>
    </row>
    <row r="278" ht="15.75" customHeight="1">
      <c r="A278" s="2"/>
      <c r="B278" s="2"/>
      <c r="C278" s="2"/>
      <c r="D278" s="2"/>
    </row>
    <row r="279" ht="15.75" customHeight="1">
      <c r="A279" s="2"/>
      <c r="B279" s="2"/>
      <c r="C279" s="2"/>
      <c r="D279" s="2"/>
    </row>
    <row r="280" ht="15.75" customHeight="1">
      <c r="A280" s="2"/>
      <c r="B280" s="2"/>
      <c r="C280" s="2"/>
      <c r="D280" s="2"/>
    </row>
    <row r="281" ht="15.75" customHeight="1">
      <c r="A281" s="2"/>
      <c r="B281" s="2"/>
      <c r="C281" s="2"/>
      <c r="D281" s="2"/>
    </row>
    <row r="282" ht="15.75" customHeight="1">
      <c r="A282" s="2"/>
      <c r="B282" s="2"/>
      <c r="C282" s="2"/>
      <c r="D282" s="2"/>
    </row>
    <row r="283" ht="15.75" customHeight="1">
      <c r="A283" s="2"/>
      <c r="B283" s="2"/>
      <c r="C283" s="2"/>
      <c r="D283" s="2"/>
    </row>
    <row r="284" ht="15.75" customHeight="1">
      <c r="A284" s="2"/>
      <c r="B284" s="2"/>
      <c r="C284" s="2"/>
      <c r="D284" s="2"/>
    </row>
    <row r="285" ht="15.75" customHeight="1">
      <c r="A285" s="2"/>
      <c r="B285" s="2"/>
      <c r="C285" s="2"/>
      <c r="D285" s="2"/>
    </row>
    <row r="286" ht="15.75" customHeight="1">
      <c r="A286" s="2"/>
      <c r="B286" s="2"/>
      <c r="C286" s="2"/>
      <c r="D286" s="2"/>
    </row>
    <row r="287" ht="15.75" customHeight="1">
      <c r="A287" s="2"/>
      <c r="B287" s="2"/>
      <c r="C287" s="2"/>
      <c r="D287" s="2"/>
    </row>
    <row r="288" ht="15.75" customHeight="1">
      <c r="A288" s="2"/>
      <c r="B288" s="2"/>
      <c r="C288" s="2"/>
      <c r="D288" s="2"/>
    </row>
    <row r="289" ht="15.75" customHeight="1">
      <c r="A289" s="2"/>
      <c r="B289" s="2"/>
      <c r="C289" s="2"/>
      <c r="D289" s="2"/>
    </row>
    <row r="290" ht="15.75" customHeight="1">
      <c r="A290" s="2"/>
      <c r="B290" s="2"/>
      <c r="C290" s="2"/>
      <c r="D290" s="2"/>
    </row>
    <row r="291" ht="15.75" customHeight="1">
      <c r="A291" s="2"/>
      <c r="B291" s="2"/>
      <c r="C291" s="2"/>
      <c r="D291" s="2"/>
    </row>
    <row r="292" ht="15.75" customHeight="1">
      <c r="A292" s="2"/>
      <c r="B292" s="2"/>
      <c r="C292" s="2"/>
      <c r="D292" s="2"/>
    </row>
    <row r="293" ht="15.75" customHeight="1">
      <c r="A293" s="2"/>
      <c r="B293" s="2"/>
      <c r="C293" s="2"/>
      <c r="D293" s="2"/>
    </row>
    <row r="294" ht="15.75" customHeight="1">
      <c r="A294" s="2"/>
      <c r="B294" s="2"/>
      <c r="C294" s="2"/>
      <c r="D294" s="2"/>
    </row>
    <row r="295" ht="15.75" customHeight="1">
      <c r="A295" s="2"/>
      <c r="B295" s="2"/>
      <c r="C295" s="2"/>
      <c r="D295" s="2"/>
    </row>
    <row r="296" ht="15.75" customHeight="1">
      <c r="A296" s="2"/>
      <c r="B296" s="2"/>
      <c r="C296" s="2"/>
      <c r="D296" s="2"/>
    </row>
    <row r="297" ht="15.75" customHeight="1">
      <c r="A297" s="2"/>
      <c r="B297" s="2"/>
      <c r="C297" s="2"/>
      <c r="D297" s="2"/>
    </row>
    <row r="298" ht="15.75" customHeight="1">
      <c r="A298" s="2"/>
      <c r="B298" s="2"/>
      <c r="C298" s="2"/>
      <c r="D298" s="2"/>
    </row>
    <row r="299" ht="15.75" customHeight="1">
      <c r="A299" s="2"/>
      <c r="B299" s="2"/>
      <c r="C299" s="2"/>
      <c r="D299" s="2"/>
    </row>
    <row r="300" ht="15.75" customHeight="1">
      <c r="A300" s="2"/>
      <c r="B300" s="2"/>
      <c r="C300" s="2"/>
      <c r="D300" s="2"/>
    </row>
    <row r="301" ht="15.75" customHeight="1">
      <c r="A301" s="2"/>
      <c r="B301" s="2"/>
      <c r="C301" s="2"/>
      <c r="D301" s="2"/>
    </row>
    <row r="302" ht="15.75" customHeight="1">
      <c r="A302" s="2"/>
      <c r="B302" s="2"/>
      <c r="C302" s="2"/>
      <c r="D302" s="2"/>
    </row>
    <row r="303" ht="15.75" customHeight="1">
      <c r="A303" s="2"/>
      <c r="B303" s="2"/>
      <c r="C303" s="2"/>
      <c r="D303" s="2"/>
    </row>
    <row r="304" ht="15.75" customHeight="1">
      <c r="A304" s="2"/>
      <c r="B304" s="2"/>
      <c r="C304" s="2"/>
      <c r="D304" s="2"/>
    </row>
    <row r="305" ht="15.75" customHeight="1">
      <c r="A305" s="2"/>
      <c r="B305" s="2"/>
      <c r="C305" s="2"/>
      <c r="D305" s="2"/>
    </row>
    <row r="306" ht="15.75" customHeight="1">
      <c r="A306" s="2"/>
      <c r="B306" s="2"/>
      <c r="C306" s="2"/>
      <c r="D306" s="2"/>
    </row>
    <row r="307" ht="15.75" customHeight="1">
      <c r="A307" s="2"/>
      <c r="B307" s="2"/>
      <c r="C307" s="2"/>
      <c r="D307" s="2"/>
    </row>
    <row r="308" ht="15.75" customHeight="1">
      <c r="A308" s="2"/>
      <c r="B308" s="2"/>
      <c r="C308" s="2"/>
      <c r="D308" s="2"/>
    </row>
    <row r="309" ht="15.75" customHeight="1">
      <c r="A309" s="2"/>
      <c r="B309" s="2"/>
      <c r="C309" s="2"/>
      <c r="D309" s="2"/>
    </row>
    <row r="310" ht="15.75" customHeight="1">
      <c r="A310" s="2"/>
      <c r="B310" s="2"/>
      <c r="C310" s="2"/>
      <c r="D310" s="2"/>
    </row>
    <row r="311" ht="15.75" customHeight="1">
      <c r="A311" s="2"/>
      <c r="B311" s="2"/>
      <c r="C311" s="2"/>
      <c r="D311" s="2"/>
    </row>
    <row r="312" ht="15.75" customHeight="1">
      <c r="A312" s="2"/>
      <c r="B312" s="2"/>
      <c r="C312" s="2"/>
      <c r="D312" s="2"/>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26.0"/>
    <col customWidth="1" min="3" max="3" width="9.0"/>
    <col customWidth="1" min="4" max="4" width="3.0"/>
    <col customWidth="1" min="5" max="6" width="8.0"/>
    <col customWidth="1" min="7" max="7" width="3.0"/>
    <col customWidth="1" min="8" max="8" width="52.0"/>
    <col customWidth="1" min="9" max="9" width="10.0"/>
    <col customWidth="1" min="10" max="26" width="8.71"/>
  </cols>
  <sheetData>
    <row r="1" ht="15.75" customHeight="1">
      <c r="A1" s="1" t="s">
        <v>15</v>
      </c>
      <c r="B1" s="2"/>
      <c r="C1" s="2"/>
      <c r="D1" s="2"/>
      <c r="E1" s="2"/>
      <c r="F1" s="2"/>
      <c r="G1" s="2"/>
      <c r="H1" s="2"/>
      <c r="I1" s="2"/>
    </row>
    <row r="2">
      <c r="A2" s="2"/>
      <c r="B2" s="2"/>
      <c r="C2" s="2"/>
      <c r="D2" s="2"/>
      <c r="E2" s="2"/>
      <c r="F2" s="2"/>
      <c r="G2" s="2"/>
      <c r="H2" s="2"/>
      <c r="I2" s="2"/>
    </row>
    <row r="3" ht="15.0" customHeight="1">
      <c r="A3" s="9" t="s">
        <v>16</v>
      </c>
      <c r="B3" s="2"/>
      <c r="C3" s="2"/>
      <c r="D3" s="2"/>
      <c r="E3" s="9" t="s">
        <v>17</v>
      </c>
      <c r="F3" s="2"/>
      <c r="G3" s="2"/>
      <c r="H3" s="9" t="s">
        <v>18</v>
      </c>
      <c r="I3" s="2"/>
    </row>
    <row r="4" ht="15.0" customHeight="1">
      <c r="A4" s="3" t="s">
        <v>19</v>
      </c>
      <c r="B4" s="3" t="s">
        <v>20</v>
      </c>
      <c r="C4" s="3" t="s">
        <v>21</v>
      </c>
      <c r="D4" s="2"/>
      <c r="E4" s="3" t="s">
        <v>22</v>
      </c>
      <c r="F4" s="3" t="s">
        <v>23</v>
      </c>
      <c r="G4" s="2"/>
      <c r="H4" s="4" t="s">
        <v>24</v>
      </c>
      <c r="I4" s="4">
        <f>COUNTA(E5:E15)</f>
        <v>11</v>
      </c>
    </row>
    <row r="5" ht="15.0" customHeight="1">
      <c r="A5" s="5" t="s">
        <v>25</v>
      </c>
      <c r="B5" s="5" t="s">
        <v>26</v>
      </c>
      <c r="C5" s="5" t="s">
        <v>27</v>
      </c>
      <c r="D5" s="2"/>
      <c r="E5" s="5" t="s">
        <v>25</v>
      </c>
      <c r="F5" s="5" t="s">
        <v>28</v>
      </c>
      <c r="G5" s="2"/>
      <c r="H5" s="4" t="s">
        <v>29</v>
      </c>
      <c r="I5" s="4">
        <f>COUNTA(A5:A13)</f>
        <v>9</v>
      </c>
    </row>
    <row r="6" ht="15.0" customHeight="1">
      <c r="A6" s="5" t="s">
        <v>28</v>
      </c>
      <c r="B6" s="5" t="s">
        <v>30</v>
      </c>
      <c r="C6" s="5" t="s">
        <v>31</v>
      </c>
      <c r="D6" s="2"/>
      <c r="E6" s="5" t="s">
        <v>25</v>
      </c>
      <c r="F6" s="5" t="s">
        <v>32</v>
      </c>
      <c r="G6" s="2"/>
      <c r="H6" s="4" t="s">
        <v>33</v>
      </c>
      <c r="I6" s="5">
        <v>1.0</v>
      </c>
    </row>
    <row r="7" ht="15.0" customHeight="1">
      <c r="A7" s="5" t="s">
        <v>32</v>
      </c>
      <c r="B7" s="5" t="s">
        <v>34</v>
      </c>
      <c r="C7" s="5" t="s">
        <v>35</v>
      </c>
      <c r="D7" s="2"/>
      <c r="E7" s="5" t="s">
        <v>28</v>
      </c>
      <c r="F7" s="5" t="s">
        <v>36</v>
      </c>
      <c r="G7" s="2"/>
      <c r="H7" s="9" t="s">
        <v>37</v>
      </c>
      <c r="I7" s="9">
        <f>I4-I5+2*I6</f>
        <v>4</v>
      </c>
    </row>
    <row r="8" ht="15.0" customHeight="1">
      <c r="A8" s="5" t="s">
        <v>38</v>
      </c>
      <c r="B8" s="5" t="s">
        <v>39</v>
      </c>
      <c r="C8" s="5" t="s">
        <v>35</v>
      </c>
      <c r="D8" s="2"/>
      <c r="E8" s="5" t="s">
        <v>32</v>
      </c>
      <c r="F8" s="5" t="s">
        <v>38</v>
      </c>
      <c r="G8" s="2"/>
      <c r="H8" s="4" t="s">
        <v>40</v>
      </c>
      <c r="I8" s="5">
        <v>4.0</v>
      </c>
    </row>
    <row r="9" ht="15.0" customHeight="1">
      <c r="A9" s="5" t="s">
        <v>41</v>
      </c>
      <c r="B9" s="5" t="s">
        <v>42</v>
      </c>
      <c r="C9" s="5" t="s">
        <v>43</v>
      </c>
      <c r="D9" s="2"/>
      <c r="E9" s="5" t="s">
        <v>38</v>
      </c>
      <c r="F9" s="5" t="s">
        <v>41</v>
      </c>
      <c r="G9" s="2"/>
      <c r="H9" s="2"/>
      <c r="I9" s="2"/>
    </row>
    <row r="10" ht="15.0" customHeight="1">
      <c r="A10" s="5" t="s">
        <v>44</v>
      </c>
      <c r="B10" s="5" t="s">
        <v>45</v>
      </c>
      <c r="C10" s="5" t="s">
        <v>46</v>
      </c>
      <c r="D10" s="2"/>
      <c r="E10" s="5" t="s">
        <v>38</v>
      </c>
      <c r="F10" s="5" t="s">
        <v>47</v>
      </c>
      <c r="G10" s="2"/>
      <c r="H10" s="4" t="s">
        <v>48</v>
      </c>
      <c r="I10" s="4">
        <f>I7-I8</f>
        <v>0</v>
      </c>
    </row>
    <row r="11" ht="15.0" customHeight="1">
      <c r="A11" s="5" t="s">
        <v>49</v>
      </c>
      <c r="B11" s="5" t="s">
        <v>50</v>
      </c>
      <c r="C11" s="5" t="s">
        <v>35</v>
      </c>
      <c r="D11" s="2"/>
      <c r="E11" s="5" t="s">
        <v>41</v>
      </c>
      <c r="F11" s="5" t="s">
        <v>44</v>
      </c>
      <c r="G11" s="2"/>
      <c r="H11" s="2"/>
      <c r="I11" s="2"/>
    </row>
    <row r="12" ht="15.0" customHeight="1">
      <c r="A12" s="5" t="s">
        <v>47</v>
      </c>
      <c r="B12" s="5" t="s">
        <v>51</v>
      </c>
      <c r="C12" s="5" t="s">
        <v>52</v>
      </c>
      <c r="D12" s="2"/>
      <c r="E12" s="5" t="s">
        <v>41</v>
      </c>
      <c r="F12" s="5" t="s">
        <v>49</v>
      </c>
      <c r="G12" s="2"/>
      <c r="H12" s="9" t="s">
        <v>53</v>
      </c>
      <c r="I12" s="2"/>
    </row>
    <row r="13" ht="15.0" customHeight="1">
      <c r="A13" s="5" t="s">
        <v>36</v>
      </c>
      <c r="B13" s="5" t="s">
        <v>54</v>
      </c>
      <c r="C13" s="5" t="s">
        <v>55</v>
      </c>
      <c r="D13" s="2"/>
      <c r="E13" s="5" t="s">
        <v>44</v>
      </c>
      <c r="F13" s="5" t="s">
        <v>49</v>
      </c>
      <c r="G13" s="2"/>
      <c r="H13" s="4" t="s">
        <v>56</v>
      </c>
      <c r="I13" s="2"/>
    </row>
    <row r="14" ht="15.0" customHeight="1">
      <c r="A14" s="2"/>
      <c r="B14" s="2"/>
      <c r="C14" s="2"/>
      <c r="D14" s="2"/>
      <c r="E14" s="5" t="s">
        <v>49</v>
      </c>
      <c r="F14" s="5" t="s">
        <v>38</v>
      </c>
      <c r="G14" s="2"/>
      <c r="H14" s="4" t="s">
        <v>57</v>
      </c>
      <c r="I14" s="2"/>
    </row>
    <row r="15" ht="15.0" customHeight="1">
      <c r="A15" s="2"/>
      <c r="B15" s="2"/>
      <c r="C15" s="2"/>
      <c r="D15" s="2"/>
      <c r="E15" s="5" t="s">
        <v>47</v>
      </c>
      <c r="F15" s="5" t="s">
        <v>36</v>
      </c>
      <c r="G15" s="2"/>
      <c r="H15" s="4" t="s">
        <v>58</v>
      </c>
      <c r="I15" s="2"/>
    </row>
    <row r="16" ht="15.0" customHeight="1">
      <c r="A16" s="2"/>
      <c r="B16" s="2"/>
      <c r="C16" s="2"/>
      <c r="D16" s="2"/>
      <c r="E16" s="2"/>
      <c r="F16" s="2"/>
      <c r="G16" s="2"/>
      <c r="H16" s="4" t="s">
        <v>59</v>
      </c>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3.0"/>
    <col customWidth="1" min="3" max="3" width="3.0"/>
    <col customWidth="1" min="4" max="4" width="12.0"/>
    <col customWidth="1" min="5" max="5" width="13.0"/>
    <col customWidth="1" min="6" max="6" width="3.0"/>
    <col customWidth="1" min="7" max="7" width="40.0"/>
    <col customWidth="1" min="8" max="8" width="14.0"/>
    <col customWidth="1" min="9" max="26" width="8.71"/>
  </cols>
  <sheetData>
    <row r="1" ht="15.75" customHeight="1">
      <c r="A1" s="1" t="s">
        <v>60</v>
      </c>
      <c r="B1" s="2"/>
      <c r="C1" s="2"/>
      <c r="D1" s="2"/>
      <c r="E1" s="2"/>
      <c r="F1" s="2"/>
      <c r="G1" s="2"/>
      <c r="H1" s="2"/>
    </row>
    <row r="2">
      <c r="A2" s="2"/>
      <c r="B2" s="2"/>
      <c r="C2" s="2"/>
      <c r="D2" s="2"/>
      <c r="E2" s="2"/>
      <c r="F2" s="2"/>
      <c r="G2" s="2"/>
      <c r="H2" s="2"/>
    </row>
    <row r="3" ht="15.0" customHeight="1">
      <c r="A3" s="9" t="s">
        <v>61</v>
      </c>
      <c r="B3" s="2"/>
      <c r="C3" s="2"/>
      <c r="D3" s="9" t="s">
        <v>62</v>
      </c>
      <c r="E3" s="2"/>
      <c r="F3" s="2"/>
      <c r="G3" s="9" t="s">
        <v>63</v>
      </c>
      <c r="H3" s="2"/>
    </row>
    <row r="4" ht="15.0" customHeight="1">
      <c r="A4" s="3" t="s">
        <v>64</v>
      </c>
      <c r="B4" s="3" t="s">
        <v>65</v>
      </c>
      <c r="C4" s="2"/>
      <c r="D4" s="3" t="s">
        <v>66</v>
      </c>
      <c r="E4" s="3" t="s">
        <v>65</v>
      </c>
      <c r="F4" s="2"/>
      <c r="G4" s="4" t="s">
        <v>67</v>
      </c>
      <c r="H4" s="4">
        <f>COUNTA(A5:A21)</f>
        <v>17</v>
      </c>
    </row>
    <row r="5" ht="15.0" customHeight="1">
      <c r="A5" s="5" t="s">
        <v>68</v>
      </c>
      <c r="B5" s="5">
        <v>1.0</v>
      </c>
      <c r="C5" s="2"/>
      <c r="D5" s="5" t="s">
        <v>69</v>
      </c>
      <c r="E5" s="5">
        <v>3.0</v>
      </c>
      <c r="F5" s="2"/>
      <c r="G5" s="4" t="s">
        <v>70</v>
      </c>
      <c r="H5" s="4">
        <f>SUM(B5:B21)</f>
        <v>48</v>
      </c>
    </row>
    <row r="6" ht="15.0" customHeight="1">
      <c r="A6" s="5" t="s">
        <v>71</v>
      </c>
      <c r="B6" s="5">
        <v>8.0</v>
      </c>
      <c r="C6" s="2"/>
      <c r="D6" s="5" t="s">
        <v>72</v>
      </c>
      <c r="E6" s="5">
        <v>2.0</v>
      </c>
      <c r="F6" s="2"/>
      <c r="G6" s="4" t="s">
        <v>73</v>
      </c>
      <c r="H6" s="4">
        <f>COUNTA(D5:D12)</f>
        <v>8</v>
      </c>
    </row>
    <row r="7" ht="15.0" customHeight="1">
      <c r="A7" s="5" t="s">
        <v>74</v>
      </c>
      <c r="B7" s="5">
        <v>3.0</v>
      </c>
      <c r="C7" s="2"/>
      <c r="D7" s="5" t="s">
        <v>75</v>
      </c>
      <c r="E7" s="5">
        <v>7.0</v>
      </c>
      <c r="F7" s="2"/>
      <c r="G7" s="4" t="s">
        <v>76</v>
      </c>
      <c r="H7" s="4">
        <f>SUM(E5:E12)</f>
        <v>36</v>
      </c>
    </row>
    <row r="8" ht="15.0" customHeight="1">
      <c r="A8" s="5" t="s">
        <v>77</v>
      </c>
      <c r="B8" s="5">
        <v>1.0</v>
      </c>
      <c r="C8" s="2"/>
      <c r="D8" s="5" t="s">
        <v>78</v>
      </c>
      <c r="E8" s="5">
        <v>4.0</v>
      </c>
      <c r="F8" s="2"/>
      <c r="G8" s="4" t="s">
        <v>79</v>
      </c>
      <c r="H8" s="4">
        <f>H5+H7</f>
        <v>84</v>
      </c>
    </row>
    <row r="9" ht="15.0" customHeight="1">
      <c r="A9" s="5" t="s">
        <v>80</v>
      </c>
      <c r="B9" s="5">
        <v>9.0</v>
      </c>
      <c r="C9" s="2"/>
      <c r="D9" s="5" t="s">
        <v>81</v>
      </c>
      <c r="E9" s="5">
        <v>6.0</v>
      </c>
      <c r="F9" s="2"/>
      <c r="G9" s="4" t="s">
        <v>82</v>
      </c>
      <c r="H9" s="4">
        <f>H4+H6</f>
        <v>25</v>
      </c>
    </row>
    <row r="10" ht="15.0" customHeight="1">
      <c r="A10" s="5" t="s">
        <v>83</v>
      </c>
      <c r="B10" s="5">
        <v>1.0</v>
      </c>
      <c r="C10" s="2"/>
      <c r="D10" s="5" t="s">
        <v>84</v>
      </c>
      <c r="E10" s="5">
        <v>7.0</v>
      </c>
      <c r="F10" s="2"/>
      <c r="G10" s="4" t="s">
        <v>85</v>
      </c>
      <c r="H10" s="10">
        <f>H8*LOG(H9,2)</f>
        <v>390.0839199</v>
      </c>
    </row>
    <row r="11" ht="15.0" customHeight="1">
      <c r="A11" s="5" t="s">
        <v>86</v>
      </c>
      <c r="B11" s="5">
        <v>8.0</v>
      </c>
      <c r="C11" s="2"/>
      <c r="D11" s="5" t="s">
        <v>87</v>
      </c>
      <c r="E11" s="5">
        <v>3.0</v>
      </c>
      <c r="F11" s="2"/>
      <c r="G11" s="4" t="s">
        <v>88</v>
      </c>
      <c r="H11" s="10">
        <f>(H4/2)*(H7/H6)</f>
        <v>38.25</v>
      </c>
    </row>
    <row r="12" ht="15.0" customHeight="1">
      <c r="A12" s="5" t="s">
        <v>89</v>
      </c>
      <c r="B12" s="5">
        <v>2.0</v>
      </c>
      <c r="C12" s="2"/>
      <c r="D12" s="5" t="s">
        <v>90</v>
      </c>
      <c r="E12" s="5">
        <v>4.0</v>
      </c>
      <c r="F12" s="2"/>
      <c r="G12" s="4" t="s">
        <v>91</v>
      </c>
      <c r="H12" s="11">
        <f>H11*H10</f>
        <v>14920.70994</v>
      </c>
    </row>
    <row r="13" ht="15.0" customHeight="1">
      <c r="A13" s="5" t="s">
        <v>92</v>
      </c>
      <c r="B13" s="5">
        <v>1.0</v>
      </c>
      <c r="C13" s="2"/>
      <c r="D13" s="2"/>
      <c r="E13" s="2"/>
      <c r="F13" s="2"/>
      <c r="G13" s="2"/>
      <c r="H13" s="2"/>
    </row>
    <row r="14" ht="15.0" customHeight="1">
      <c r="A14" s="5" t="s">
        <v>30</v>
      </c>
      <c r="B14" s="5">
        <v>1.0</v>
      </c>
      <c r="C14" s="2"/>
      <c r="D14" s="2"/>
      <c r="E14" s="2"/>
      <c r="F14" s="2"/>
      <c r="G14" s="9" t="s">
        <v>93</v>
      </c>
      <c r="H14" s="2"/>
    </row>
    <row r="15" ht="15.0" customHeight="1">
      <c r="A15" s="5" t="s">
        <v>94</v>
      </c>
      <c r="B15" s="5">
        <v>1.0</v>
      </c>
      <c r="C15" s="2"/>
      <c r="D15" s="2"/>
      <c r="E15" s="2"/>
      <c r="F15" s="2"/>
      <c r="G15" s="4" t="s">
        <v>95</v>
      </c>
      <c r="H15" s="2"/>
    </row>
    <row r="16" ht="15.0" customHeight="1">
      <c r="A16" s="5" t="s">
        <v>96</v>
      </c>
      <c r="B16" s="5">
        <v>2.0</v>
      </c>
      <c r="C16" s="2"/>
      <c r="D16" s="2"/>
      <c r="E16" s="2"/>
      <c r="F16" s="2"/>
      <c r="G16" s="4" t="s">
        <v>97</v>
      </c>
      <c r="H16" s="2"/>
    </row>
    <row r="17" ht="15.0" customHeight="1">
      <c r="A17" s="5" t="s">
        <v>98</v>
      </c>
      <c r="B17" s="5">
        <v>2.0</v>
      </c>
      <c r="C17" s="2"/>
      <c r="D17" s="2"/>
      <c r="E17" s="2"/>
      <c r="F17" s="2"/>
      <c r="G17" s="4" t="s">
        <v>99</v>
      </c>
      <c r="H17" s="2"/>
    </row>
    <row r="18" ht="15.0" customHeight="1">
      <c r="A18" s="5" t="s">
        <v>100</v>
      </c>
      <c r="B18" s="5">
        <v>2.0</v>
      </c>
      <c r="C18" s="2"/>
      <c r="D18" s="2"/>
      <c r="E18" s="2"/>
      <c r="F18" s="2"/>
      <c r="G18" s="4" t="s">
        <v>101</v>
      </c>
      <c r="H18" s="2"/>
    </row>
    <row r="19" ht="15.0" customHeight="1">
      <c r="A19" s="5" t="s">
        <v>102</v>
      </c>
      <c r="B19" s="5">
        <v>2.0</v>
      </c>
      <c r="C19" s="2"/>
      <c r="D19" s="2"/>
      <c r="E19" s="2"/>
      <c r="F19" s="2"/>
      <c r="G19" s="4" t="s">
        <v>103</v>
      </c>
      <c r="H19" s="2"/>
    </row>
    <row r="20" ht="15.0" customHeight="1">
      <c r="A20" s="5" t="s">
        <v>104</v>
      </c>
      <c r="B20" s="5">
        <v>2.0</v>
      </c>
      <c r="C20" s="2"/>
      <c r="D20" s="2"/>
      <c r="E20" s="2"/>
      <c r="F20" s="2"/>
      <c r="G20" s="4" t="s">
        <v>59</v>
      </c>
      <c r="H20" s="2"/>
    </row>
    <row r="21" ht="15.0" customHeight="1">
      <c r="A21" s="5" t="s">
        <v>105</v>
      </c>
      <c r="B21" s="5">
        <v>2.0</v>
      </c>
      <c r="C21" s="2"/>
      <c r="D21" s="2"/>
      <c r="E21" s="2"/>
      <c r="F21" s="2"/>
      <c r="G21" s="2"/>
      <c r="H21" s="2"/>
    </row>
    <row r="22" ht="15.75" customHeight="1">
      <c r="A22" s="12" t="s">
        <v>106</v>
      </c>
    </row>
    <row r="23" ht="15.75" customHeight="1">
      <c r="A23" s="13"/>
      <c r="B23" s="14"/>
      <c r="C23" s="14"/>
      <c r="D23" s="14"/>
      <c r="E23" s="14"/>
      <c r="F23" s="14"/>
      <c r="G23" s="14"/>
      <c r="H23" s="15"/>
    </row>
    <row r="24" ht="63.75" customHeight="1">
      <c r="A24" s="16" t="s">
        <v>107</v>
      </c>
    </row>
    <row r="25" ht="36.0" customHeight="1">
      <c r="A25" s="16" t="s">
        <v>108</v>
      </c>
    </row>
    <row r="26" ht="27.75" customHeight="1"/>
    <row r="27" ht="15.75" customHeight="1"/>
    <row r="28" ht="30.0" customHeight="1"/>
    <row r="29" ht="15.75" customHeight="1"/>
    <row r="30" ht="24.75" customHeight="1"/>
    <row r="31" ht="15.75" customHeight="1"/>
    <row r="32" ht="16.5" customHeight="1">
      <c r="A32" s="17"/>
      <c r="B32" s="17"/>
      <c r="C32" s="17"/>
      <c r="D32" s="17"/>
      <c r="E32" s="17"/>
      <c r="F32" s="17"/>
      <c r="G32" s="17"/>
      <c r="H32" s="17"/>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4">
    <mergeCell ref="A22:H22"/>
    <mergeCell ref="A23:H23"/>
    <mergeCell ref="A24:H24"/>
    <mergeCell ref="A25:H25"/>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7" max="7" width="16.86"/>
    <col customWidth="1" min="8" max="8" width="20.86"/>
    <col customWidth="1" min="9" max="9" width="18.43"/>
  </cols>
  <sheetData>
    <row r="1">
      <c r="A1" s="1" t="s">
        <v>109</v>
      </c>
      <c r="B1" s="2"/>
      <c r="C1" s="2"/>
      <c r="D1" s="2"/>
    </row>
    <row r="3">
      <c r="A3" s="18" t="s">
        <v>110</v>
      </c>
      <c r="B3" s="18" t="s">
        <v>111</v>
      </c>
      <c r="C3" s="18" t="s">
        <v>112</v>
      </c>
      <c r="G3" s="19" t="s">
        <v>110</v>
      </c>
      <c r="H3" s="19" t="s">
        <v>113</v>
      </c>
      <c r="I3" s="19" t="s">
        <v>114</v>
      </c>
      <c r="K3" s="18" t="s">
        <v>110</v>
      </c>
      <c r="L3" s="18" t="s">
        <v>111</v>
      </c>
      <c r="M3" s="18" t="s">
        <v>112</v>
      </c>
    </row>
    <row r="4">
      <c r="A4" s="20" t="s">
        <v>115</v>
      </c>
      <c r="B4" s="20" t="s">
        <v>116</v>
      </c>
      <c r="C4" s="20">
        <v>30.0</v>
      </c>
      <c r="G4" s="20" t="s">
        <v>115</v>
      </c>
      <c r="H4" s="20" t="s">
        <v>117</v>
      </c>
      <c r="I4" s="20" t="s">
        <v>118</v>
      </c>
      <c r="K4" s="20" t="s">
        <v>115</v>
      </c>
      <c r="L4" s="20" t="s">
        <v>119</v>
      </c>
      <c r="M4" s="20">
        <v>3.0</v>
      </c>
    </row>
    <row r="5">
      <c r="A5" s="20" t="s">
        <v>120</v>
      </c>
      <c r="B5" s="20" t="s">
        <v>121</v>
      </c>
      <c r="C5" s="20">
        <v>17.0</v>
      </c>
      <c r="G5" s="20" t="s">
        <v>120</v>
      </c>
      <c r="H5" s="20" t="s">
        <v>122</v>
      </c>
      <c r="I5" s="20" t="s">
        <v>123</v>
      </c>
      <c r="K5" s="20" t="s">
        <v>120</v>
      </c>
      <c r="L5" s="20" t="s">
        <v>124</v>
      </c>
      <c r="M5" s="20">
        <v>3.0</v>
      </c>
    </row>
    <row r="6">
      <c r="A6" s="20" t="s">
        <v>125</v>
      </c>
      <c r="B6" s="20" t="s">
        <v>126</v>
      </c>
      <c r="C6" s="20">
        <v>21.0</v>
      </c>
      <c r="G6" s="20" t="s">
        <v>125</v>
      </c>
      <c r="H6" s="20" t="s">
        <v>117</v>
      </c>
      <c r="I6" s="20" t="s">
        <v>127</v>
      </c>
      <c r="K6" s="20" t="s">
        <v>125</v>
      </c>
      <c r="L6" s="20" t="s">
        <v>128</v>
      </c>
      <c r="M6" s="20">
        <v>0.0</v>
      </c>
    </row>
    <row r="7">
      <c r="A7" s="20" t="s">
        <v>129</v>
      </c>
      <c r="B7" s="20" t="s">
        <v>130</v>
      </c>
      <c r="C7" s="20">
        <v>21.0</v>
      </c>
      <c r="G7" s="20" t="s">
        <v>129</v>
      </c>
      <c r="H7" s="20" t="s">
        <v>131</v>
      </c>
      <c r="I7" s="20" t="s">
        <v>127</v>
      </c>
      <c r="K7" s="20" t="s">
        <v>129</v>
      </c>
      <c r="L7" s="20" t="s">
        <v>132</v>
      </c>
      <c r="M7" s="20">
        <v>0.0</v>
      </c>
    </row>
    <row r="8">
      <c r="A8" s="20" t="s">
        <v>133</v>
      </c>
      <c r="B8" s="20" t="s">
        <v>134</v>
      </c>
      <c r="C8" s="20">
        <v>55.0</v>
      </c>
      <c r="G8" s="20" t="s">
        <v>133</v>
      </c>
      <c r="H8" s="20" t="s">
        <v>135</v>
      </c>
      <c r="I8" s="20" t="s">
        <v>127</v>
      </c>
      <c r="K8" s="20" t="s">
        <v>133</v>
      </c>
      <c r="L8" s="20" t="s">
        <v>136</v>
      </c>
      <c r="M8" s="20">
        <v>0.0</v>
      </c>
    </row>
    <row r="9">
      <c r="A9" s="21" t="s">
        <v>137</v>
      </c>
      <c r="B9" s="22"/>
      <c r="C9" s="23">
        <v>144.0</v>
      </c>
      <c r="G9" s="21"/>
      <c r="H9" s="22"/>
      <c r="I9" s="23"/>
      <c r="K9" s="21" t="s">
        <v>137</v>
      </c>
      <c r="L9" s="22"/>
      <c r="M9" s="23">
        <v>6.0</v>
      </c>
    </row>
    <row r="10">
      <c r="A10" s="24"/>
      <c r="B10" s="24"/>
      <c r="C10" s="24"/>
    </row>
    <row r="11">
      <c r="A11" s="16" t="s">
        <v>138</v>
      </c>
    </row>
    <row r="12">
      <c r="A12" s="24"/>
      <c r="B12" s="24"/>
      <c r="C12" s="24"/>
    </row>
    <row r="13">
      <c r="A13" s="24"/>
      <c r="B13" s="24"/>
      <c r="C13" s="24"/>
    </row>
    <row r="14">
      <c r="A14" s="24"/>
      <c r="B14" s="24"/>
      <c r="C14" s="24"/>
    </row>
    <row r="15">
      <c r="A15" s="24"/>
      <c r="B15" s="24"/>
      <c r="C15" s="24"/>
    </row>
  </sheetData>
  <mergeCells count="1">
    <mergeCell ref="A11:F1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139</v>
      </c>
    </row>
    <row r="7">
      <c r="A7" s="25" t="s">
        <v>111</v>
      </c>
      <c r="B7" s="14"/>
      <c r="C7" s="14"/>
      <c r="D7" s="14"/>
      <c r="E7" s="14"/>
      <c r="F7" s="14"/>
      <c r="G7" s="14"/>
      <c r="H7" s="15"/>
    </row>
    <row r="9">
      <c r="A9" s="26" t="s">
        <v>140</v>
      </c>
      <c r="F9" s="26" t="s">
        <v>141</v>
      </c>
      <c r="J9" s="26">
        <v>390.08</v>
      </c>
    </row>
    <row r="10">
      <c r="F10" s="26" t="s">
        <v>142</v>
      </c>
      <c r="J10" s="26">
        <v>4.0</v>
      </c>
    </row>
    <row r="11">
      <c r="F11" s="26" t="s">
        <v>143</v>
      </c>
      <c r="J11" s="26">
        <v>12.0</v>
      </c>
    </row>
    <row r="12">
      <c r="F12" s="26" t="s">
        <v>144</v>
      </c>
      <c r="J12" s="26">
        <v>0.0</v>
      </c>
    </row>
    <row r="16">
      <c r="A16" s="26" t="s">
        <v>145</v>
      </c>
    </row>
    <row r="20">
      <c r="A20" s="25" t="s">
        <v>146</v>
      </c>
      <c r="B20" s="14"/>
      <c r="C20" s="14"/>
      <c r="D20" s="14"/>
      <c r="E20" s="14"/>
      <c r="F20" s="14"/>
      <c r="G20" s="14"/>
      <c r="H20" s="15"/>
    </row>
    <row r="23">
      <c r="A23" s="26" t="s">
        <v>140</v>
      </c>
      <c r="F23" s="26" t="s">
        <v>141</v>
      </c>
      <c r="J23" s="26">
        <v>390.08</v>
      </c>
    </row>
    <row r="24">
      <c r="F24" s="26" t="s">
        <v>142</v>
      </c>
      <c r="J24" s="26">
        <v>4.0</v>
      </c>
    </row>
    <row r="25">
      <c r="F25" s="26" t="s">
        <v>143</v>
      </c>
      <c r="J25" s="26">
        <v>12.0</v>
      </c>
    </row>
    <row r="26">
      <c r="F26" s="26" t="s">
        <v>144</v>
      </c>
      <c r="J26" s="26" t="s">
        <v>147</v>
      </c>
    </row>
    <row r="30">
      <c r="A30" s="26" t="s">
        <v>148</v>
      </c>
      <c r="I30" s="26" t="s">
        <v>149</v>
      </c>
    </row>
    <row r="33">
      <c r="A33" s="26" t="s">
        <v>150</v>
      </c>
    </row>
  </sheetData>
  <mergeCells count="8">
    <mergeCell ref="A1:F1"/>
    <mergeCell ref="A7:H7"/>
    <mergeCell ref="A9:D9"/>
    <mergeCell ref="A16:F16"/>
    <mergeCell ref="A20:H20"/>
    <mergeCell ref="A23:D23"/>
    <mergeCell ref="A30:H30"/>
    <mergeCell ref="A33:E3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71"/>
    <col customWidth="1" min="2" max="2" width="20.29"/>
    <col customWidth="1" min="4" max="4" width="18.14"/>
  </cols>
  <sheetData>
    <row r="1">
      <c r="A1" s="1" t="s">
        <v>151</v>
      </c>
    </row>
    <row r="7">
      <c r="A7" s="18" t="s">
        <v>152</v>
      </c>
      <c r="B7" s="18" t="s">
        <v>153</v>
      </c>
      <c r="C7" s="18" t="s">
        <v>154</v>
      </c>
      <c r="D7" s="18" t="s">
        <v>155</v>
      </c>
      <c r="E7" s="18" t="s">
        <v>156</v>
      </c>
    </row>
    <row r="8">
      <c r="A8" s="27">
        <v>1.0</v>
      </c>
      <c r="B8" s="27" t="s">
        <v>157</v>
      </c>
      <c r="C8" s="27">
        <v>3.0</v>
      </c>
      <c r="D8" s="27" t="s">
        <v>158</v>
      </c>
      <c r="E8" s="27" t="s">
        <v>159</v>
      </c>
    </row>
    <row r="9">
      <c r="A9" s="27">
        <v>2.0</v>
      </c>
      <c r="B9" s="27" t="s">
        <v>160</v>
      </c>
      <c r="C9" s="27">
        <v>2.0</v>
      </c>
      <c r="D9" s="27" t="s">
        <v>161</v>
      </c>
      <c r="E9" s="27" t="s">
        <v>162</v>
      </c>
    </row>
    <row r="10">
      <c r="A10" s="27">
        <v>3.0</v>
      </c>
      <c r="B10" s="27" t="s">
        <v>163</v>
      </c>
      <c r="C10" s="27">
        <v>2.0</v>
      </c>
      <c r="D10" s="27" t="s">
        <v>164</v>
      </c>
      <c r="E10" s="27" t="s">
        <v>165</v>
      </c>
    </row>
    <row r="11">
      <c r="A11" s="27">
        <v>4.0</v>
      </c>
      <c r="B11" s="27" t="s">
        <v>166</v>
      </c>
      <c r="C11" s="27">
        <v>2.0</v>
      </c>
      <c r="D11" s="27" t="s">
        <v>167</v>
      </c>
      <c r="E11" s="27" t="s">
        <v>168</v>
      </c>
    </row>
    <row r="12">
      <c r="A12" s="27">
        <v>5.0</v>
      </c>
      <c r="B12" s="27" t="s">
        <v>169</v>
      </c>
      <c r="C12" s="27">
        <v>1.0</v>
      </c>
      <c r="D12" s="27" t="s">
        <v>170</v>
      </c>
      <c r="E12" s="27" t="s">
        <v>165</v>
      </c>
    </row>
    <row r="13">
      <c r="A13" s="27">
        <v>6.0</v>
      </c>
      <c r="B13" s="27" t="s">
        <v>171</v>
      </c>
      <c r="C13" s="27">
        <v>5.0</v>
      </c>
      <c r="D13" s="27" t="s">
        <v>172</v>
      </c>
      <c r="E13" s="27" t="s">
        <v>173</v>
      </c>
    </row>
    <row r="14">
      <c r="A14" s="27">
        <v>7.0</v>
      </c>
      <c r="B14" s="27" t="s">
        <v>174</v>
      </c>
      <c r="C14" s="27">
        <v>4.0</v>
      </c>
      <c r="D14" s="27" t="s">
        <v>175</v>
      </c>
      <c r="E14" s="27" t="s">
        <v>176</v>
      </c>
    </row>
    <row r="15">
      <c r="A15" s="27">
        <v>8.0</v>
      </c>
      <c r="B15" s="27" t="s">
        <v>177</v>
      </c>
      <c r="C15" s="27">
        <v>4.0</v>
      </c>
      <c r="D15" s="27" t="s">
        <v>178</v>
      </c>
      <c r="E15" s="27" t="s">
        <v>179</v>
      </c>
    </row>
    <row r="16">
      <c r="A16" s="27">
        <v>9.0</v>
      </c>
      <c r="B16" s="27" t="s">
        <v>180</v>
      </c>
      <c r="C16" s="27">
        <v>2.0</v>
      </c>
      <c r="D16" s="27" t="s">
        <v>181</v>
      </c>
      <c r="E16" s="27" t="s">
        <v>182</v>
      </c>
    </row>
    <row r="17">
      <c r="A17" s="27">
        <v>10.0</v>
      </c>
      <c r="B17" s="27" t="s">
        <v>183</v>
      </c>
      <c r="C17" s="27">
        <v>2.0</v>
      </c>
      <c r="D17" s="27" t="s">
        <v>184</v>
      </c>
      <c r="E17" s="27" t="s">
        <v>185</v>
      </c>
    </row>
    <row r="18">
      <c r="A18" s="27">
        <v>11.0</v>
      </c>
      <c r="B18" s="27" t="s">
        <v>186</v>
      </c>
      <c r="C18" s="27">
        <v>2.0</v>
      </c>
      <c r="D18" s="27" t="s">
        <v>187</v>
      </c>
      <c r="E18" s="28" t="s">
        <v>188</v>
      </c>
    </row>
    <row r="19">
      <c r="A19" s="27">
        <v>12.0</v>
      </c>
      <c r="B19" s="27" t="s">
        <v>189</v>
      </c>
      <c r="C19" s="27">
        <v>2.0</v>
      </c>
      <c r="D19" s="27" t="s">
        <v>190</v>
      </c>
      <c r="E19" s="27" t="s">
        <v>191</v>
      </c>
    </row>
    <row r="20">
      <c r="A20" s="27">
        <v>13.0</v>
      </c>
      <c r="B20" s="27" t="s">
        <v>192</v>
      </c>
      <c r="C20" s="27">
        <v>1.0</v>
      </c>
      <c r="D20" s="27" t="s">
        <v>193</v>
      </c>
      <c r="E20" s="27" t="s">
        <v>194</v>
      </c>
    </row>
    <row r="21">
      <c r="A21" s="27">
        <v>14.0</v>
      </c>
      <c r="B21" s="27" t="s">
        <v>195</v>
      </c>
      <c r="C21" s="27">
        <v>4.0</v>
      </c>
      <c r="D21" s="27" t="s">
        <v>196</v>
      </c>
      <c r="E21" s="27" t="s">
        <v>197</v>
      </c>
    </row>
    <row r="22">
      <c r="A22" s="24"/>
      <c r="B22" s="27" t="s">
        <v>198</v>
      </c>
      <c r="C22" s="24">
        <f>SUM(C2:C15)</f>
        <v>23</v>
      </c>
      <c r="D22" s="24"/>
      <c r="E22" s="24"/>
    </row>
    <row r="23">
      <c r="A23" s="24"/>
      <c r="B23" s="27" t="s">
        <v>199</v>
      </c>
      <c r="C23" s="24">
        <f>0.65+0.01*C16</f>
        <v>0.67</v>
      </c>
      <c r="D23" s="24"/>
      <c r="E23" s="2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200</v>
      </c>
    </row>
    <row r="4">
      <c r="A4" s="18" t="s">
        <v>201</v>
      </c>
    </row>
    <row r="5">
      <c r="A5" s="26" t="s">
        <v>202</v>
      </c>
    </row>
    <row r="6">
      <c r="A6" s="18" t="s">
        <v>203</v>
      </c>
    </row>
    <row r="7">
      <c r="A7" s="26" t="s">
        <v>204</v>
      </c>
    </row>
    <row r="8">
      <c r="A8" s="18" t="s">
        <v>205</v>
      </c>
    </row>
    <row r="9">
      <c r="A9" s="26" t="s">
        <v>206</v>
      </c>
    </row>
    <row r="10">
      <c r="A10" s="18" t="s">
        <v>207</v>
      </c>
    </row>
    <row r="11">
      <c r="A11" s="29">
        <v>112.24</v>
      </c>
    </row>
    <row r="12">
      <c r="A12" s="18" t="s">
        <v>208</v>
      </c>
    </row>
    <row r="13">
      <c r="A13" s="26" t="s">
        <v>209</v>
      </c>
    </row>
    <row r="14">
      <c r="A14" s="18" t="s">
        <v>210</v>
      </c>
    </row>
    <row r="15">
      <c r="A15" s="26" t="s">
        <v>211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8" t="s">
        <v>212</v>
      </c>
      <c r="B1" s="18" t="s">
        <v>213</v>
      </c>
      <c r="C1" s="18" t="s">
        <v>214</v>
      </c>
      <c r="D1" s="18" t="s">
        <v>215</v>
      </c>
      <c r="E1" s="18" t="s">
        <v>216</v>
      </c>
      <c r="F1" s="18" t="s">
        <v>217</v>
      </c>
      <c r="G1" s="18" t="s">
        <v>218</v>
      </c>
    </row>
    <row r="2">
      <c r="A2" s="26" t="s">
        <v>219</v>
      </c>
      <c r="B2" s="26">
        <v>0.0</v>
      </c>
      <c r="C2" s="26" t="s">
        <v>220</v>
      </c>
      <c r="D2" s="26">
        <v>3.0</v>
      </c>
      <c r="E2" s="26">
        <v>3.0</v>
      </c>
      <c r="F2" s="26">
        <v>0.0</v>
      </c>
      <c r="G2" s="26">
        <v>3.0</v>
      </c>
    </row>
    <row r="3">
      <c r="A3" s="26" t="s">
        <v>221</v>
      </c>
      <c r="B3" s="26">
        <v>1.0</v>
      </c>
      <c r="C3" s="26" t="s">
        <v>222</v>
      </c>
      <c r="D3" s="26">
        <v>8.0</v>
      </c>
      <c r="E3" s="26">
        <v>22.0</v>
      </c>
      <c r="F3" s="26">
        <v>6.0</v>
      </c>
      <c r="G3" s="26">
        <v>16.0</v>
      </c>
    </row>
    <row r="4">
      <c r="A4" s="26" t="s">
        <v>223</v>
      </c>
      <c r="B4" s="26">
        <v>1.0</v>
      </c>
      <c r="C4" s="26" t="s">
        <v>222</v>
      </c>
      <c r="D4" s="26">
        <v>6.0</v>
      </c>
      <c r="E4" s="26">
        <v>13.0</v>
      </c>
      <c r="F4" s="26">
        <v>2.0</v>
      </c>
      <c r="G4" s="26">
        <v>11.0</v>
      </c>
    </row>
    <row r="5">
      <c r="A5" s="26" t="s">
        <v>224</v>
      </c>
      <c r="B5" s="26">
        <v>1.0</v>
      </c>
      <c r="C5" s="26" t="s">
        <v>222</v>
      </c>
      <c r="D5" s="26">
        <v>2.0</v>
      </c>
      <c r="E5" s="26">
        <v>1.0</v>
      </c>
      <c r="F5" s="26">
        <v>0.0</v>
      </c>
      <c r="G5" s="26">
        <v>1.0</v>
      </c>
    </row>
    <row r="6">
      <c r="A6" s="26" t="s">
        <v>225</v>
      </c>
      <c r="B6" s="26">
        <v>2.0</v>
      </c>
      <c r="C6" s="26" t="s">
        <v>226</v>
      </c>
      <c r="D6" s="26">
        <v>1.0</v>
      </c>
      <c r="E6" s="26">
        <v>0.0</v>
      </c>
      <c r="F6" s="26">
        <v>0.0</v>
      </c>
      <c r="G6" s="26">
        <v>0.0</v>
      </c>
    </row>
    <row r="7">
      <c r="A7" s="26" t="s">
        <v>227</v>
      </c>
      <c r="B7" s="26">
        <v>7.0</v>
      </c>
      <c r="C7" s="26" t="s">
        <v>228</v>
      </c>
      <c r="D7" s="26">
        <v>1.0</v>
      </c>
      <c r="E7" s="26">
        <v>0.0</v>
      </c>
      <c r="F7" s="26">
        <v>0.0</v>
      </c>
      <c r="G7" s="26">
        <v>0.0</v>
      </c>
    </row>
    <row r="8">
      <c r="A8" s="26" t="s">
        <v>229</v>
      </c>
      <c r="B8" s="26">
        <v>0.0</v>
      </c>
      <c r="C8" s="26" t="s">
        <v>220</v>
      </c>
      <c r="D8" s="26">
        <v>0.0</v>
      </c>
      <c r="E8" s="26">
        <v>0.0</v>
      </c>
      <c r="F8" s="26">
        <v>0.0</v>
      </c>
      <c r="G8" s="26">
        <v>0.0</v>
      </c>
    </row>
    <row r="9">
      <c r="A9" s="26" t="s">
        <v>222</v>
      </c>
      <c r="B9" s="26">
        <v>0.0</v>
      </c>
      <c r="C9" s="26" t="s">
        <v>220</v>
      </c>
      <c r="D9" s="26">
        <v>1.0</v>
      </c>
      <c r="E9" s="26">
        <v>0.0</v>
      </c>
      <c r="F9" s="26">
        <v>0.0</v>
      </c>
      <c r="G9" s="26">
        <v>0.0</v>
      </c>
    </row>
    <row r="10">
      <c r="A10" s="26" t="s">
        <v>230</v>
      </c>
      <c r="B10" s="26">
        <v>2.0</v>
      </c>
      <c r="C10" s="26" t="s">
        <v>226</v>
      </c>
      <c r="D10" s="26">
        <v>1.0</v>
      </c>
      <c r="E10" s="26">
        <v>0.0</v>
      </c>
      <c r="F10" s="26">
        <v>0.0</v>
      </c>
      <c r="G10" s="26">
        <v>0.0</v>
      </c>
    </row>
    <row r="11">
      <c r="A11" s="26" t="s">
        <v>231</v>
      </c>
      <c r="B11" s="26">
        <v>2.0</v>
      </c>
      <c r="C11" s="26" t="s">
        <v>232</v>
      </c>
      <c r="D11" s="26">
        <v>8.0</v>
      </c>
      <c r="E11" s="26">
        <v>17.0</v>
      </c>
      <c r="F11" s="26">
        <v>11.0</v>
      </c>
      <c r="G11" s="26">
        <v>6.0</v>
      </c>
    </row>
  </sheetData>
  <drawing r:id="rId1"/>
</worksheet>
</file>