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LOC" sheetId="1" state="visible" r:id="rId3"/>
    <sheet name="CC" sheetId="2" state="visible" r:id="rId4"/>
    <sheet name="halstead" sheetId="3" state="visible" r:id="rId5"/>
    <sheet name="albrecht" sheetId="4" state="visible" r:id="rId6"/>
    <sheet name="MI"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<sst xmlns="http://schemas.openxmlformats.org/spreadsheetml/2006/main" count="192" uniqueCount="140">
  <si>
    <t xml:space="preserve">Mesure LOC (Lines Of Code) - projet BAGNIS-MARCUS-PIBOULEAU</t>
  </si>
  <si>
    <t xml:space="preserve">Périmètre</t>
  </si>
  <si>
    <t xml:space="preserve">Fichiers</t>
  </si>
  <si>
    <t xml:space="preserve">LOC (lignes remplis)</t>
  </si>
  <si>
    <t xml:space="preserve">LOC moyen / fichier</t>
  </si>
  <si>
    <t xml:space="preserve">Dépôt complet (script scriptligne.sh)</t>
  </si>
  <si>
    <t xml:space="preserve">Application ./app (php, js, jsx, css, ps1)</t>
  </si>
  <si>
    <t xml:space="preserve">Écart (Maquette, lockfile, etc.)</t>
  </si>
  <si>
    <t xml:space="preserve">Méthode et hypothèses</t>
  </si>
  <si>
    <t xml:space="preserve">LOC = lignes non vides (commentaires inclus), mesurées avec le script bash scriptligne.sh.</t>
  </si>
  <si>
    <t xml:space="preserve">Dépôt complet : exclut seulement .git, node_modules, .venv, __pycache__ (fichiers binaires ignorés).</t>
  </si>
  <si>
    <t xml:space="preserve">Application : find ./app sur *.php, *.js, *.jsx, *.css, *.ps1, hors node_modules et vendor.</t>
  </si>
  <si>
    <t xml:space="preserve">Le dépôt complet inclut pnpm-lock.yaml (1077 lignes, fichier généré) et la Maquette (prototype).</t>
  </si>
  <si>
    <t xml:space="preserve">Les valeurs en bleu sont des résultats saisis depuis le terminal ; les valeurs en noir sont des formules.</t>
  </si>
  <si>
    <t xml:space="preserve">Le périmètre ./app exclut .html, .sql, .json, .md, .yml.</t>
  </si>
  <si>
    <t xml:space="preserve">Complexité cyclomatique (CC) - iqsort0</t>
  </si>
  <si>
    <t xml:space="preserve">Nœuds</t>
  </si>
  <si>
    <t xml:space="preserve">Arêtes</t>
  </si>
  <si>
    <t xml:space="preserve">Calcul de V(G) = E - N + 2P</t>
  </si>
  <si>
    <t xml:space="preserve">Nœud</t>
  </si>
  <si>
    <t xml:space="preserve">Instruction</t>
  </si>
  <si>
    <t xml:space="preserve">Lignes</t>
  </si>
  <si>
    <t xml:space="preserve">De</t>
  </si>
  <si>
    <t xml:space="preserve">Vers</t>
  </si>
  <si>
    <t xml:space="preserve">E (arêtes)</t>
  </si>
  <si>
    <t xml:space="preserve">N1</t>
  </si>
  <si>
    <t xml:space="preserve">if (n &lt;= 1)</t>
  </si>
  <si>
    <t xml:space="preserve">3-4</t>
  </si>
  <si>
    <t xml:space="preserve">N2</t>
  </si>
  <si>
    <t xml:space="preserve">N (nœuds)</t>
  </si>
  <si>
    <t xml:space="preserve">return</t>
  </si>
  <si>
    <t xml:space="preserve">5</t>
  </si>
  <si>
    <t xml:space="preserve">N3</t>
  </si>
  <si>
    <t xml:space="preserve">P (composantes connexes)</t>
  </si>
  <si>
    <t xml:space="preserve">i = 1, j = 0</t>
  </si>
  <si>
    <t xml:space="preserve">6</t>
  </si>
  <si>
    <t xml:space="preserve">N9</t>
  </si>
  <si>
    <t xml:space="preserve">V(G) = E - N + 2P</t>
  </si>
  <si>
    <t xml:space="preserve">N4</t>
  </si>
  <si>
    <t xml:space="preserve">i &lt; n ?</t>
  </si>
  <si>
    <t xml:space="preserve">Contrôle : décisions + 1 (3 décisions : lignes 4, 6, 7)</t>
  </si>
  <si>
    <t xml:space="preserve">N5</t>
  </si>
  <si>
    <t xml:space="preserve">a[i] &lt; a[0] ?</t>
  </si>
  <si>
    <t xml:space="preserve">7</t>
  </si>
  <si>
    <t xml:space="preserve">N6</t>
  </si>
  <si>
    <t xml:space="preserve">swap(++j, i, a)</t>
  </si>
  <si>
    <t xml:space="preserve">8</t>
  </si>
  <si>
    <t xml:space="preserve">N8</t>
  </si>
  <si>
    <t xml:space="preserve">Contrôle : écart avec V(G)</t>
  </si>
  <si>
    <t xml:space="preserve">N7</t>
  </si>
  <si>
    <t xml:space="preserve">i++</t>
  </si>
  <si>
    <t xml:space="preserve">swap + 2 appels iqsort0</t>
  </si>
  <si>
    <t xml:space="preserve">9-11</t>
  </si>
  <si>
    <t xml:space="preserve">Sortie</t>
  </si>
  <si>
    <t xml:space="preserve">12</t>
  </si>
  <si>
    <t xml:space="preserve">Métriques de Halstead - iqsort0</t>
  </si>
  <si>
    <t xml:space="preserve">Opérateurs</t>
  </si>
  <si>
    <t xml:space="preserve">Opérandes</t>
  </si>
  <si>
    <t xml:space="preserve">Mesures</t>
  </si>
  <si>
    <t xml:space="preserve">Opérateur</t>
  </si>
  <si>
    <t xml:space="preserve">Occurrences</t>
  </si>
  <si>
    <t xml:space="preserve">Opérande</t>
  </si>
  <si>
    <t xml:space="preserve">nt (opérateurs distincts)</t>
  </si>
  <si>
    <t xml:space="preserve">void</t>
  </si>
  <si>
    <t xml:space="preserve">iqsort0</t>
  </si>
  <si>
    <t xml:space="preserve">Nt (occurrences d'opérateurs)</t>
  </si>
  <si>
    <t xml:space="preserve">( )</t>
  </si>
  <si>
    <t xml:space="preserve">swap</t>
  </si>
  <si>
    <t xml:space="preserve">nd (opérandes distincts)</t>
  </si>
  <si>
    <t xml:space="preserve">int</t>
  </si>
  <si>
    <t xml:space="preserve">a</t>
  </si>
  <si>
    <t xml:space="preserve">Nd (occurrences d'opérandes)</t>
  </si>
  <si>
    <t xml:space="preserve">*</t>
  </si>
  <si>
    <t xml:space="preserve">n</t>
  </si>
  <si>
    <t xml:space="preserve">Longueur N = Nt + Nd</t>
  </si>
  <si>
    <t xml:space="preserve">,</t>
  </si>
  <si>
    <t xml:space="preserve">i</t>
  </si>
  <si>
    <t xml:space="preserve">Vocabulaire n = nt + nd</t>
  </si>
  <si>
    <t xml:space="preserve">{ }</t>
  </si>
  <si>
    <t xml:space="preserve">j</t>
  </si>
  <si>
    <t xml:space="preserve">Volume = N * log2(n)</t>
  </si>
  <si>
    <t xml:space="preserve">;</t>
  </si>
  <si>
    <t xml:space="preserve">0</t>
  </si>
  <si>
    <t xml:space="preserve">Difficulté = (nt/2) * (Nd/nd)</t>
  </si>
  <si>
    <t xml:space="preserve">if</t>
  </si>
  <si>
    <t xml:space="preserve">1</t>
  </si>
  <si>
    <t xml:space="preserve">Effort = Difficulté * Volume</t>
  </si>
  <si>
    <t xml:space="preserve">&lt;=</t>
  </si>
  <si>
    <t xml:space="preserve">for</t>
  </si>
  <si>
    <t xml:space="preserve">=</t>
  </si>
  <si>
    <t xml:space="preserve">&lt;</t>
  </si>
  <si>
    <t xml:space="preserve">++</t>
  </si>
  <si>
    <t xml:space="preserve">[ ]</t>
  </si>
  <si>
    <t xml:space="preserve">+</t>
  </si>
  <si>
    <t xml:space="preserve">-</t>
  </si>
  <si>
    <t xml:space="preserve">Question 7 - Validité des mesures de Halstead</t>
  </si>
  <si>
    <t xml:space="preserve">Selon la théorie de la mesure, la validité d'une métrique repose sur sa capacité à évaluer avec exactitude l'attribut ciblé. Elle doit traduire fidèlement la réalité empirique, par exemple en attribuant une valeur supérieure à un code reconnu comme plus complexe. De plus, sa définition se doit d'être parfaitement claire pour garantir la reproductibilité des résultats d'un évaluateur à l'autre. </t>
  </si>
  <si>
    <t xml:space="preserve">Toutefois, les mesures de Halstead présentent des compteurs de base ambigus. Étant donné que deux personnes analysant exactement le même code peuvent aboutir à des résultats divergents, il est impossible de certifier que ces métriques quantifient correctement ce qu'elles sont censées représenter.</t>
  </si>
  <si>
    <t xml:space="preserve">Score UFC</t>
  </si>
  <si>
    <t xml:space="preserve">Catégorie</t>
  </si>
  <si>
    <t xml:space="preserve">Calcul</t>
  </si>
  <si>
    <t xml:space="preserve">Sous-total</t>
  </si>
  <si>
    <t xml:space="preserve">Entrées externes</t>
  </si>
  <si>
    <t xml:space="preserve">3×4 + 4×3 + 6×1</t>
  </si>
  <si>
    <t xml:space="preserve">Sorties externes</t>
  </si>
  <si>
    <t xml:space="preserve">4×0 + 5×2 + 7×1</t>
  </si>
  <si>
    <t xml:space="preserve">Requêtes externes</t>
  </si>
  <si>
    <t xml:space="preserve">3×7 + 4×0 + 6×0</t>
  </si>
  <si>
    <t xml:space="preserve">Fichiers internes</t>
  </si>
  <si>
    <t xml:space="preserve">7×3 + 10×0 + 15×0</t>
  </si>
  <si>
    <t xml:space="preserve">Fichiers externes</t>
  </si>
  <si>
    <t xml:space="preserve">5×0 + 7×5 + 10×2</t>
  </si>
  <si>
    <t xml:space="preserve">Total</t>
  </si>
  <si>
    <t xml:space="preserve">Pour établir des poids, on part de l'intuition que tous les éléments d'un système ne demandent pas le même travail. Dans un site marchand, un écran d'alerte « saisie incorrecte » se fait en quelques minutes, alors qu'un formulaire de saisie demande des champs, des contrôles et un enregistrement. On les range donc par niveaux (simple, moyen, difficile) en comparant leur complexité.
Pour chiffrer ces niveaux, on prend un élément simple comme référence, par exemple 3, et on en déduit les autres. Un moyen vaut un peu plus, un difficile à peu près le double. On peut aussi s'appuyer sur le temps réellement passé sur des projets précédents, ou demander l'avis de plusieurs développeurs expérimentés.
Les poids restent donc en partie subjectifs : ils dépendent de l'équipe et des technologies, et il faut les réajuster au fil des projets.</t>
  </si>
  <si>
    <t xml:space="preserve">Poids (simple / moyen / difficile)</t>
  </si>
  <si>
    <t xml:space="preserve">Scores (simple / moyen / difficile)</t>
  </si>
  <si>
    <t xml:space="preserve">1 / 2 / 4</t>
  </si>
  <si>
    <t xml:space="preserve">1 / 1 / 0</t>
  </si>
  <si>
    <t xml:space="preserve">1×1 + 2×1 + 4×0</t>
  </si>
  <si>
    <t xml:space="preserve">2 / 3 / 5</t>
  </si>
  <si>
    <t xml:space="preserve">0 / 1 / 0</t>
  </si>
  <si>
    <t xml:space="preserve">2×0 + 3×1 + 5×0</t>
  </si>
  <si>
    <t xml:space="preserve">0 / 0 / 0</t>
  </si>
  <si>
    <t xml:space="preserve">1×0 + 2×0 + 4×0</t>
  </si>
  <si>
    <t xml:space="preserve">3 / 5 / 8</t>
  </si>
  <si>
    <t xml:space="preserve">3×0 + 5×0 + 0×0</t>
  </si>
  <si>
    <t xml:space="preserve">
3 / 5 / 8</t>
  </si>
  <si>
    <t xml:space="preserve">3×0 + 5×0 + 8×0</t>
  </si>
  <si>
    <t xml:space="preserve">Index of maintenability</t>
  </si>
  <si>
    <t xml:space="preserve">171 - 5,2ln(HV) - 0,23CC - 16,2ln(LOC) + 50sin * sqrt(2,46COM)</t>
  </si>
  <si>
    <t xml:space="preserve">Volume d’Halstead (HV)</t>
  </si>
  <si>
    <t xml:space="preserve">Complexité cyclomatique (CC)</t>
  </si>
  <si>
    <t xml:space="preserve">Nombre de lignes de code (LOC)</t>
  </si>
  <si>
    <t xml:space="preserve">Pourcentage de lignes de code qui sont des commentaires (COM)</t>
  </si>
  <si>
    <t xml:space="preserve">171 - 5,2 * ln(390,08) - 0,23 * 4 - 16,2 * ln(12) + 0 = 171 − 31,03 − 0,92 − 40,26 ≈ 98,80</t>
  </si>
  <si>
    <t xml:space="preserve">Calcul avec COM</t>
  </si>
  <si>
    <t xml:space="preserve">0,52 ( 13 /24 )</t>
  </si>
  <si>
    <t xml:space="preserve">171 - 5,2 * ln(390,08) - 0,23 * 4 - 16,2 * ln(12) + 50 * sin * sqrt(2,46 * 0,52 ) = 171 − 31,03 − 0,92 − 40,26 + 45,24  ≈ 144,04</t>
  </si>
  <si>
    <t xml:space="preserve">On voit que le score est plus elevé avec les commentaires vraiment c une singerie</t>
  </si>
  <si>
    <t xml:space="preserve">/*
 * Auteur      : Prénom NOM
 * Date        : 08/10/2026
 * Description : QuickSort simplifié (Bentley et McIlroy, 1993).
 *               Trie en place les n premiers éléments du tableau a,
 *               par ordre croissant.
 */
void iqsort0 ( int *a , int n )
{
    int i , j ;
    // Cas de base : un tableau de 0 ou 1 élément est déjà trié
    if ( n &lt;=1)
        return ;
    // Partitionnement autour du pivot a[0] : j = indice du dernier élément &lt; pivot
    for ( i = 1 , j = 0; i &lt; n ; i ++)
    // Si a[i] est plus petit que le pivot, on l'ajoute à la zone de gauche
        if ( a [ i ] &lt; a [0])
            swap (++ j , i , a );
    // Place le pivot à sa position définitive j
    swap (0 , j , a );
    // Tri récursif de la partie gauche (éléments &lt; pivot)
    iqsort0 (a , j );
    // Tri récursif de la partie droite (éléments &gt;= pivot)
    iqsort0 ( a + j +1 , n -j -1);
}</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</si>
</sst>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name val="Arial"/>
      <family val="0"/>
      <charset val="1"/>
    </font>
    <font>
      <sz val="11"/>
      <name val="Arial"/>
      <family val="0"/>
      <charset val="1"/>
    </font>
    <font>
      <sz val="11"/>
      <color rgb="FF0000FF"/>
      <name val="Arial"/>
      <family val="0"/>
      <charset val="1"/>
    </font>
    <font>
      <b val="true"/>
      <sz val="13"/>
      <color theme="1"/>
      <name val="Arial"/>
      <family val="0"/>
      <charset val="1"/>
    </font>
    <font>
      <b val="true"/>
      <sz val="11"/>
      <color theme="1"/>
      <name val="Arial"/>
      <family val="0"/>
      <charset val="1"/>
    </font>
    <font>
      <sz val="11"/>
      <color theme="1"/>
      <name val="Arial"/>
      <family val="0"/>
      <charset val="1"/>
    </font>
    <font>
      <b val="true"/>
      <sz val="12"/>
      <color theme="1"/>
      <name val="Arial"/>
      <family val="0"/>
      <charset val="1"/>
    </font>
    <font>
      <sz val="10"/>
      <color theme="1"/>
      <name val="Times New Roman"/>
      <family val="1"/>
      <charset val="1"/>
    </font>
    <font>
      <sz val="11"/>
      <color theme="1"/>
      <name val="Calibri"/>
      <family val="0"/>
      <charset val="1"/>
    </font>
  </fonts>
  <fills count="6">
    <fill>
      <patternFill patternType="none"/>
    </fill>
    <fill>
      <patternFill patternType="gray125"/>
    </fill>
    <fill>
      <patternFill patternType="solid">
        <fgColor rgb="FFD9E1F2"/>
        <bgColor rgb="FFCCFFFF"/>
      </patternFill>
    </fill>
    <fill>
      <patternFill patternType="solid">
        <fgColor rgb="FF2A6099"/>
        <bgColor rgb="FF3366FF"/>
      </patternFill>
    </fill>
    <fill>
      <patternFill patternType="solid">
        <fgColor rgb="FFFFFFFF"/>
        <bgColor rgb="FFFFFFCC"/>
      </patternFill>
    </fill>
    <fill>
      <patternFill patternType="solid">
        <fgColor rgb="FF5983B0"/>
        <bgColor rgb="FF8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general" vertical="bottom" textRotation="0" wrapText="false" indent="0" shrinkToFit="false"/>
      <protection locked="true" hidden="false"/>
    </xf>
    <xf numFmtId="168"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9" fillId="3" borderId="0" xfId="0" applyFont="true" applyBorder="tru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5"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83B0"/>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24.06"/>
    <col collapsed="false" customWidth="true" hidden="false" outlineLevel="0" max="4" min="3" style="1" width="24"/>
  </cols>
  <sheetData>
    <row r="1" customFormat="false" ht="16.15" hidden="false" customHeight="false" outlineLevel="0" collapsed="false">
      <c r="A1" s="2" t="s">
        <v>0</v>
      </c>
    </row>
    <row r="3" customFormat="false" ht="15" hidden="false" customHeight="false" outlineLevel="0" collapsed="false">
      <c r="A3" s="3" t="s">
        <v>1</v>
      </c>
      <c r="B3" s="3" t="s">
        <v>2</v>
      </c>
      <c r="C3" s="3" t="s">
        <v>3</v>
      </c>
      <c r="D3" s="3" t="s">
        <v>4</v>
      </c>
    </row>
    <row r="4" customFormat="false" ht="15" hidden="false" customHeight="false" outlineLevel="0" collapsed="false">
      <c r="A4" s="4" t="s">
        <v>5</v>
      </c>
      <c r="B4" s="5" t="n">
        <v>301</v>
      </c>
      <c r="C4" s="6" t="n">
        <v>23053</v>
      </c>
      <c r="D4" s="7" t="n">
        <f aca="false">C4/B4</f>
        <v>76.5880398671096</v>
      </c>
    </row>
    <row r="5" customFormat="false" ht="15" hidden="false" customHeight="false" outlineLevel="0" collapsed="false">
      <c r="A5" s="4" t="s">
        <v>6</v>
      </c>
      <c r="B5" s="4"/>
      <c r="C5" s="6" t="n">
        <v>13696</v>
      </c>
      <c r="D5" s="4"/>
    </row>
    <row r="6" customFormat="false" ht="15" hidden="false" customHeight="false" outlineLevel="0" collapsed="false">
      <c r="A6" s="4" t="s">
        <v>7</v>
      </c>
      <c r="B6" s="4"/>
      <c r="C6" s="8" t="n">
        <f aca="false">C4-C5</f>
        <v>9357</v>
      </c>
      <c r="D6" s="4"/>
    </row>
    <row r="8" customFormat="false" ht="15" hidden="false" customHeight="false" outlineLevel="0" collapsed="false">
      <c r="A8" s="9" t="s">
        <v>8</v>
      </c>
    </row>
    <row r="9" customFormat="false" ht="15" hidden="false" customHeight="false" outlineLevel="0" collapsed="false">
      <c r="A9" s="4" t="s">
        <v>9</v>
      </c>
    </row>
    <row r="10" customFormat="false" ht="15" hidden="false" customHeight="false" outlineLevel="0" collapsed="false">
      <c r="A10" s="4" t="s">
        <v>10</v>
      </c>
    </row>
    <row r="11" customFormat="false" ht="15" hidden="false" customHeight="false" outlineLevel="0" collapsed="false">
      <c r="A11" s="4" t="s">
        <v>11</v>
      </c>
    </row>
    <row r="12" customFormat="false" ht="15" hidden="false" customHeight="false" outlineLevel="0" collapsed="false">
      <c r="A12" s="4" t="s">
        <v>12</v>
      </c>
    </row>
    <row r="13" customFormat="false" ht="15" hidden="false" customHeight="false" outlineLevel="0" collapsed="false">
      <c r="A13" s="4" t="s">
        <v>13</v>
      </c>
    </row>
    <row r="14" customFormat="false" ht="15" hidden="false" customHeight="false" outlineLevel="0" collapsed="false">
      <c r="A14"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2" activeCellId="0" sqref="I22"/>
    </sheetView>
  </sheetViews>
  <sheetFormatPr defaultColWidth="11.53515625" defaultRowHeight="12.8" zeroHeight="false" outlineLevelRow="0" outlineLevelCol="0"/>
  <sheetData>
    <row r="1" customFormat="false" ht="16.15" hidden="false" customHeight="false" outlineLevel="0" collapsed="false">
      <c r="A1" s="2" t="s">
        <v>15</v>
      </c>
      <c r="B1" s="1"/>
      <c r="C1" s="1"/>
      <c r="D1" s="1"/>
      <c r="E1" s="1"/>
      <c r="F1" s="1"/>
      <c r="G1" s="1"/>
      <c r="H1" s="1"/>
      <c r="I1" s="1"/>
    </row>
    <row r="2" customFormat="false" ht="13.8" hidden="false" customHeight="false" outlineLevel="0" collapsed="false">
      <c r="A2" s="1"/>
      <c r="B2" s="1"/>
      <c r="C2" s="1"/>
      <c r="D2" s="1"/>
      <c r="E2" s="1"/>
      <c r="F2" s="1"/>
      <c r="G2" s="1"/>
      <c r="H2" s="1"/>
      <c r="I2" s="1"/>
    </row>
    <row r="3" customFormat="false" ht="13.8" hidden="false" customHeight="false" outlineLevel="0" collapsed="false">
      <c r="A3" s="9" t="s">
        <v>16</v>
      </c>
      <c r="B3" s="1"/>
      <c r="C3" s="1"/>
      <c r="D3" s="1"/>
      <c r="E3" s="9" t="s">
        <v>17</v>
      </c>
      <c r="F3" s="1"/>
      <c r="G3" s="1"/>
      <c r="H3" s="9" t="s">
        <v>18</v>
      </c>
      <c r="I3" s="1"/>
    </row>
    <row r="4" customFormat="false" ht="13.8" hidden="false" customHeight="false" outlineLevel="0" collapsed="false">
      <c r="A4" s="3" t="s">
        <v>19</v>
      </c>
      <c r="B4" s="3" t="s">
        <v>20</v>
      </c>
      <c r="C4" s="3" t="s">
        <v>21</v>
      </c>
      <c r="D4" s="1"/>
      <c r="E4" s="3" t="s">
        <v>22</v>
      </c>
      <c r="F4" s="3" t="s">
        <v>23</v>
      </c>
      <c r="G4" s="1"/>
      <c r="H4" s="4" t="s">
        <v>24</v>
      </c>
      <c r="I4" s="4" t="n">
        <f aca="false">COUNTA(E5:E15)</f>
        <v>11</v>
      </c>
    </row>
    <row r="5" customFormat="false" ht="13.8" hidden="false" customHeight="false" outlineLevel="0" collapsed="false">
      <c r="A5" s="5" t="s">
        <v>25</v>
      </c>
      <c r="B5" s="5" t="s">
        <v>26</v>
      </c>
      <c r="C5" s="5" t="s">
        <v>27</v>
      </c>
      <c r="D5" s="1"/>
      <c r="E5" s="5" t="s">
        <v>25</v>
      </c>
      <c r="F5" s="5" t="s">
        <v>28</v>
      </c>
      <c r="G5" s="1"/>
      <c r="H5" s="4" t="s">
        <v>29</v>
      </c>
      <c r="I5" s="4" t="n">
        <f aca="false">COUNTA(A5:A13)</f>
        <v>9</v>
      </c>
    </row>
    <row r="6" customFormat="false" ht="13.8" hidden="false" customHeight="false" outlineLevel="0" collapsed="false">
      <c r="A6" s="5" t="s">
        <v>28</v>
      </c>
      <c r="B6" s="5" t="s">
        <v>30</v>
      </c>
      <c r="C6" s="5" t="s">
        <v>31</v>
      </c>
      <c r="D6" s="1"/>
      <c r="E6" s="5" t="s">
        <v>25</v>
      </c>
      <c r="F6" s="5" t="s">
        <v>32</v>
      </c>
      <c r="G6" s="1"/>
      <c r="H6" s="4" t="s">
        <v>33</v>
      </c>
      <c r="I6" s="5" t="n">
        <v>1</v>
      </c>
    </row>
    <row r="7" customFormat="false" ht="13.8" hidden="false" customHeight="false" outlineLevel="0" collapsed="false">
      <c r="A7" s="5" t="s">
        <v>32</v>
      </c>
      <c r="B7" s="5" t="s">
        <v>34</v>
      </c>
      <c r="C7" s="5" t="s">
        <v>35</v>
      </c>
      <c r="D7" s="1"/>
      <c r="E7" s="5" t="s">
        <v>28</v>
      </c>
      <c r="F7" s="5" t="s">
        <v>36</v>
      </c>
      <c r="G7" s="1"/>
      <c r="H7" s="9" t="s">
        <v>37</v>
      </c>
      <c r="I7" s="9" t="n">
        <f aca="false">I4-I5+2*I6</f>
        <v>4</v>
      </c>
    </row>
    <row r="8" customFormat="false" ht="13.8" hidden="false" customHeight="false" outlineLevel="0" collapsed="false">
      <c r="A8" s="5" t="s">
        <v>38</v>
      </c>
      <c r="B8" s="5" t="s">
        <v>39</v>
      </c>
      <c r="C8" s="5" t="s">
        <v>35</v>
      </c>
      <c r="D8" s="1"/>
      <c r="E8" s="5" t="s">
        <v>32</v>
      </c>
      <c r="F8" s="5" t="s">
        <v>38</v>
      </c>
      <c r="G8" s="1"/>
      <c r="H8" s="4" t="s">
        <v>40</v>
      </c>
      <c r="I8" s="5" t="n">
        <v>4</v>
      </c>
    </row>
    <row r="9" customFormat="false" ht="13.8" hidden="false" customHeight="false" outlineLevel="0" collapsed="false">
      <c r="A9" s="5" t="s">
        <v>41</v>
      </c>
      <c r="B9" s="5" t="s">
        <v>42</v>
      </c>
      <c r="C9" s="5" t="s">
        <v>43</v>
      </c>
      <c r="D9" s="1"/>
      <c r="E9" s="5" t="s">
        <v>38</v>
      </c>
      <c r="F9" s="5" t="s">
        <v>41</v>
      </c>
      <c r="G9" s="1"/>
      <c r="H9" s="1"/>
      <c r="I9" s="1"/>
    </row>
    <row r="10" customFormat="false" ht="13.8" hidden="false" customHeight="false" outlineLevel="0" collapsed="false">
      <c r="A10" s="5" t="s">
        <v>44</v>
      </c>
      <c r="B10" s="5" t="s">
        <v>45</v>
      </c>
      <c r="C10" s="5" t="s">
        <v>46</v>
      </c>
      <c r="D10" s="1"/>
      <c r="E10" s="5" t="s">
        <v>38</v>
      </c>
      <c r="F10" s="5" t="s">
        <v>47</v>
      </c>
      <c r="G10" s="1"/>
      <c r="H10" s="4" t="s">
        <v>48</v>
      </c>
      <c r="I10" s="4" t="n">
        <f aca="false">I7-I8</f>
        <v>0</v>
      </c>
    </row>
    <row r="11" customFormat="false" ht="13.8" hidden="false" customHeight="false" outlineLevel="0" collapsed="false">
      <c r="A11" s="5" t="s">
        <v>49</v>
      </c>
      <c r="B11" s="5" t="s">
        <v>50</v>
      </c>
      <c r="C11" s="5" t="s">
        <v>35</v>
      </c>
      <c r="D11" s="1"/>
      <c r="E11" s="5" t="s">
        <v>41</v>
      </c>
      <c r="F11" s="5" t="s">
        <v>44</v>
      </c>
      <c r="G11" s="1"/>
      <c r="H11" s="1"/>
      <c r="I11" s="1"/>
    </row>
    <row r="12" customFormat="false" ht="13.8" hidden="false" customHeight="false" outlineLevel="0" collapsed="false">
      <c r="A12" s="5" t="s">
        <v>47</v>
      </c>
      <c r="B12" s="5" t="s">
        <v>51</v>
      </c>
      <c r="C12" s="5" t="s">
        <v>52</v>
      </c>
      <c r="D12" s="1"/>
      <c r="E12" s="5" t="s">
        <v>41</v>
      </c>
      <c r="F12" s="5" t="s">
        <v>49</v>
      </c>
      <c r="G12" s="1"/>
      <c r="H12" s="9"/>
      <c r="I12" s="1"/>
    </row>
    <row r="13" customFormat="false" ht="13.8" hidden="false" customHeight="false" outlineLevel="0" collapsed="false">
      <c r="A13" s="5" t="s">
        <v>36</v>
      </c>
      <c r="B13" s="5" t="s">
        <v>53</v>
      </c>
      <c r="C13" s="5" t="s">
        <v>54</v>
      </c>
      <c r="D13" s="1"/>
      <c r="E13" s="5" t="s">
        <v>44</v>
      </c>
      <c r="F13" s="5" t="s">
        <v>49</v>
      </c>
      <c r="G13" s="1"/>
      <c r="H13" s="4"/>
      <c r="I13" s="1"/>
    </row>
    <row r="14" customFormat="false" ht="13.8" hidden="false" customHeight="false" outlineLevel="0" collapsed="false">
      <c r="A14" s="1"/>
      <c r="B14" s="1"/>
      <c r="C14" s="1"/>
      <c r="D14" s="1"/>
      <c r="E14" s="5" t="s">
        <v>49</v>
      </c>
      <c r="F14" s="5" t="s">
        <v>38</v>
      </c>
      <c r="G14" s="1"/>
      <c r="H14" s="4"/>
      <c r="I14" s="1"/>
    </row>
    <row r="15" customFormat="false" ht="13.8" hidden="false" customHeight="false" outlineLevel="0" collapsed="false">
      <c r="A15" s="1"/>
      <c r="B15" s="1"/>
      <c r="C15" s="1"/>
      <c r="D15" s="1"/>
      <c r="E15" s="5" t="s">
        <v>47</v>
      </c>
      <c r="F15" s="5" t="s">
        <v>36</v>
      </c>
      <c r="G15" s="1"/>
      <c r="H15" s="4"/>
      <c r="I15" s="1"/>
    </row>
    <row r="16" customFormat="false" ht="13.8" hidden="false" customHeight="false" outlineLevel="0" collapsed="false">
      <c r="A16" s="1"/>
      <c r="B16" s="1"/>
      <c r="C16" s="1"/>
      <c r="D16" s="1"/>
      <c r="E16" s="1"/>
      <c r="F16" s="1"/>
      <c r="G16" s="1"/>
      <c r="H16" s="4"/>
      <c r="I16" s="1"/>
    </row>
    <row r="17" customFormat="false" ht="13.8" hidden="false" customHeight="false" outlineLevel="0" collapsed="false">
      <c r="A17" s="1"/>
      <c r="B17" s="1"/>
      <c r="C17" s="1"/>
      <c r="D17" s="1"/>
      <c r="E17" s="1"/>
      <c r="F17" s="1"/>
      <c r="G17" s="1"/>
      <c r="H17" s="1"/>
      <c r="I17" s="1"/>
    </row>
    <row r="18" customFormat="false" ht="13.8" hidden="false" customHeight="false" outlineLevel="0" collapsed="false">
      <c r="A18" s="1"/>
      <c r="B18" s="1"/>
      <c r="C18" s="1"/>
      <c r="D18" s="1"/>
      <c r="E18" s="1"/>
      <c r="F18" s="1"/>
      <c r="G18" s="1"/>
      <c r="H18" s="1"/>
      <c r="I18" s="1"/>
    </row>
    <row r="19" customFormat="false" ht="13.8" hidden="false" customHeight="false" outlineLevel="0" collapsed="false">
      <c r="A19" s="1"/>
      <c r="B19" s="1"/>
      <c r="C19" s="1"/>
      <c r="D19" s="1"/>
      <c r="E19" s="1"/>
      <c r="F19" s="1"/>
      <c r="G19" s="1"/>
      <c r="H19" s="1"/>
      <c r="I19" s="1"/>
    </row>
    <row r="20" customFormat="false" ht="13.8" hidden="false" customHeight="false" outlineLevel="0" collapsed="false">
      <c r="A20" s="1"/>
      <c r="B20" s="1"/>
      <c r="C20" s="1"/>
      <c r="D20" s="1"/>
      <c r="E20" s="1"/>
      <c r="F20" s="1"/>
      <c r="G20" s="1"/>
      <c r="H20" s="1"/>
      <c r="I20"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26" activeCellId="0" sqref="L26"/>
    </sheetView>
  </sheetViews>
  <sheetFormatPr defaultColWidth="11.53515625" defaultRowHeight="12.8" zeroHeight="false" outlineLevelRow="0" outlineLevelCol="0"/>
  <sheetData>
    <row r="1" customFormat="false" ht="16.15" hidden="false" customHeight="false" outlineLevel="0" collapsed="false">
      <c r="A1" s="10" t="s">
        <v>55</v>
      </c>
      <c r="B1" s="1"/>
      <c r="C1" s="1"/>
      <c r="D1" s="1"/>
      <c r="E1" s="1"/>
      <c r="F1" s="1"/>
      <c r="G1" s="1"/>
      <c r="H1" s="1"/>
    </row>
    <row r="2" customFormat="false" ht="13.8" hidden="false" customHeight="false" outlineLevel="0" collapsed="false">
      <c r="A2" s="1"/>
      <c r="B2" s="1"/>
      <c r="C2" s="1"/>
      <c r="D2" s="1"/>
      <c r="E2" s="1"/>
      <c r="F2" s="1"/>
      <c r="G2" s="1"/>
      <c r="H2" s="1"/>
    </row>
    <row r="3" customFormat="false" ht="13.8" hidden="false" customHeight="false" outlineLevel="0" collapsed="false">
      <c r="A3" s="11" t="s">
        <v>56</v>
      </c>
      <c r="B3" s="1"/>
      <c r="C3" s="1"/>
      <c r="D3" s="11" t="s">
        <v>57</v>
      </c>
      <c r="E3" s="1"/>
      <c r="F3" s="1"/>
      <c r="G3" s="11" t="s">
        <v>58</v>
      </c>
      <c r="H3" s="1"/>
    </row>
    <row r="4" customFormat="false" ht="13.8" hidden="false" customHeight="false" outlineLevel="0" collapsed="false">
      <c r="A4" s="12" t="s">
        <v>59</v>
      </c>
      <c r="B4" s="12" t="s">
        <v>60</v>
      </c>
      <c r="C4" s="1"/>
      <c r="D4" s="12" t="s">
        <v>61</v>
      </c>
      <c r="E4" s="12" t="s">
        <v>60</v>
      </c>
      <c r="F4" s="1"/>
      <c r="G4" s="13" t="s">
        <v>62</v>
      </c>
      <c r="H4" s="13" t="n">
        <f aca="false">COUNTA(A5:A21)</f>
        <v>17</v>
      </c>
    </row>
    <row r="5" customFormat="false" ht="13.8" hidden="false" customHeight="false" outlineLevel="0" collapsed="false">
      <c r="A5" s="13" t="s">
        <v>63</v>
      </c>
      <c r="B5" s="13" t="n">
        <v>1</v>
      </c>
      <c r="C5" s="1"/>
      <c r="D5" s="13" t="s">
        <v>64</v>
      </c>
      <c r="E5" s="13" t="n">
        <v>3</v>
      </c>
      <c r="F5" s="1"/>
      <c r="G5" s="13" t="s">
        <v>65</v>
      </c>
      <c r="H5" s="13" t="n">
        <f aca="false">SUM(B5:B21)</f>
        <v>48</v>
      </c>
    </row>
    <row r="6" customFormat="false" ht="13.8" hidden="false" customHeight="false" outlineLevel="0" collapsed="false">
      <c r="A6" s="13" t="s">
        <v>66</v>
      </c>
      <c r="B6" s="13" t="n">
        <v>8</v>
      </c>
      <c r="C6" s="1"/>
      <c r="D6" s="13" t="s">
        <v>67</v>
      </c>
      <c r="E6" s="13" t="n">
        <v>2</v>
      </c>
      <c r="F6" s="1"/>
      <c r="G6" s="13" t="s">
        <v>68</v>
      </c>
      <c r="H6" s="13" t="n">
        <f aca="false">COUNTA(D5:D12)</f>
        <v>8</v>
      </c>
    </row>
    <row r="7" customFormat="false" ht="13.8" hidden="false" customHeight="false" outlineLevel="0" collapsed="false">
      <c r="A7" s="13" t="s">
        <v>69</v>
      </c>
      <c r="B7" s="13" t="n">
        <v>3</v>
      </c>
      <c r="C7" s="1"/>
      <c r="D7" s="13" t="s">
        <v>70</v>
      </c>
      <c r="E7" s="13" t="n">
        <v>7</v>
      </c>
      <c r="F7" s="1"/>
      <c r="G7" s="13" t="s">
        <v>71</v>
      </c>
      <c r="H7" s="13" t="n">
        <f aca="false">SUM(E5:E12)</f>
        <v>36</v>
      </c>
    </row>
    <row r="8" customFormat="false" ht="13.8" hidden="false" customHeight="false" outlineLevel="0" collapsed="false">
      <c r="A8" s="13" t="s">
        <v>72</v>
      </c>
      <c r="B8" s="13" t="n">
        <v>1</v>
      </c>
      <c r="C8" s="1"/>
      <c r="D8" s="13" t="s">
        <v>73</v>
      </c>
      <c r="E8" s="13" t="n">
        <v>4</v>
      </c>
      <c r="F8" s="1"/>
      <c r="G8" s="13" t="s">
        <v>74</v>
      </c>
      <c r="H8" s="13" t="n">
        <f aca="false">H5+H7</f>
        <v>84</v>
      </c>
    </row>
    <row r="9" customFormat="false" ht="13.8" hidden="false" customHeight="false" outlineLevel="0" collapsed="false">
      <c r="A9" s="13" t="s">
        <v>75</v>
      </c>
      <c r="B9" s="13" t="n">
        <v>9</v>
      </c>
      <c r="C9" s="1"/>
      <c r="D9" s="13" t="s">
        <v>76</v>
      </c>
      <c r="E9" s="13" t="n">
        <v>6</v>
      </c>
      <c r="F9" s="1"/>
      <c r="G9" s="13" t="s">
        <v>77</v>
      </c>
      <c r="H9" s="13" t="n">
        <f aca="false">H4+H6</f>
        <v>25</v>
      </c>
    </row>
    <row r="10" customFormat="false" ht="13.8" hidden="false" customHeight="false" outlineLevel="0" collapsed="false">
      <c r="A10" s="13" t="s">
        <v>78</v>
      </c>
      <c r="B10" s="13" t="n">
        <v>1</v>
      </c>
      <c r="C10" s="1"/>
      <c r="D10" s="13" t="s">
        <v>79</v>
      </c>
      <c r="E10" s="13" t="n">
        <v>7</v>
      </c>
      <c r="F10" s="1"/>
      <c r="G10" s="13" t="s">
        <v>80</v>
      </c>
      <c r="H10" s="14" t="n">
        <f aca="false">H8*LOG(H9,2)</f>
        <v>390.083919941077</v>
      </c>
    </row>
    <row r="11" customFormat="false" ht="13.8" hidden="false" customHeight="false" outlineLevel="0" collapsed="false">
      <c r="A11" s="13" t="s">
        <v>81</v>
      </c>
      <c r="B11" s="13" t="n">
        <v>8</v>
      </c>
      <c r="C11" s="1"/>
      <c r="D11" s="13" t="s">
        <v>82</v>
      </c>
      <c r="E11" s="13" t="n">
        <v>3</v>
      </c>
      <c r="F11" s="1"/>
      <c r="G11" s="13" t="s">
        <v>83</v>
      </c>
      <c r="H11" s="14" t="n">
        <f aca="false">(H4/2)*(H7/H6)</f>
        <v>38.25</v>
      </c>
    </row>
    <row r="12" customFormat="false" ht="13.8" hidden="false" customHeight="false" outlineLevel="0" collapsed="false">
      <c r="A12" s="13" t="s">
        <v>84</v>
      </c>
      <c r="B12" s="13" t="n">
        <v>2</v>
      </c>
      <c r="C12" s="1"/>
      <c r="D12" s="13" t="s">
        <v>85</v>
      </c>
      <c r="E12" s="13" t="n">
        <v>4</v>
      </c>
      <c r="F12" s="1"/>
      <c r="G12" s="13" t="s">
        <v>86</v>
      </c>
      <c r="H12" s="15" t="n">
        <f aca="false">H11*H10</f>
        <v>14920.7099377462</v>
      </c>
    </row>
    <row r="13" customFormat="false" ht="13.8" hidden="false" customHeight="false" outlineLevel="0" collapsed="false">
      <c r="A13" s="13" t="s">
        <v>87</v>
      </c>
      <c r="B13" s="13" t="n">
        <v>1</v>
      </c>
      <c r="C13" s="1"/>
      <c r="D13" s="1"/>
      <c r="E13" s="1"/>
      <c r="F13" s="1"/>
      <c r="G13" s="1"/>
      <c r="H13" s="1"/>
    </row>
    <row r="14" customFormat="false" ht="13.8" hidden="false" customHeight="false" outlineLevel="0" collapsed="false">
      <c r="A14" s="13" t="s">
        <v>30</v>
      </c>
      <c r="B14" s="13" t="n">
        <v>1</v>
      </c>
      <c r="C14" s="1"/>
      <c r="D14" s="1"/>
      <c r="E14" s="1"/>
      <c r="F14" s="1"/>
      <c r="G14" s="11"/>
      <c r="H14" s="1"/>
    </row>
    <row r="15" customFormat="false" ht="13.8" hidden="false" customHeight="false" outlineLevel="0" collapsed="false">
      <c r="A15" s="13" t="s">
        <v>88</v>
      </c>
      <c r="B15" s="13" t="n">
        <v>1</v>
      </c>
      <c r="C15" s="1"/>
      <c r="D15" s="1"/>
      <c r="E15" s="1"/>
      <c r="F15" s="1"/>
      <c r="G15" s="13"/>
      <c r="H15" s="1"/>
    </row>
    <row r="16" customFormat="false" ht="13.8" hidden="false" customHeight="false" outlineLevel="0" collapsed="false">
      <c r="A16" s="13" t="s">
        <v>89</v>
      </c>
      <c r="B16" s="13" t="n">
        <v>2</v>
      </c>
      <c r="C16" s="1"/>
      <c r="D16" s="1"/>
      <c r="E16" s="1"/>
      <c r="F16" s="1"/>
      <c r="G16" s="13"/>
      <c r="H16" s="1"/>
    </row>
    <row r="17" customFormat="false" ht="13.8" hidden="false" customHeight="false" outlineLevel="0" collapsed="false">
      <c r="A17" s="13" t="s">
        <v>90</v>
      </c>
      <c r="B17" s="13" t="n">
        <v>2</v>
      </c>
      <c r="C17" s="1"/>
      <c r="D17" s="1"/>
      <c r="E17" s="1"/>
      <c r="F17" s="1"/>
      <c r="G17" s="13"/>
      <c r="H17" s="1"/>
    </row>
    <row r="18" customFormat="false" ht="13.8" hidden="false" customHeight="false" outlineLevel="0" collapsed="false">
      <c r="A18" s="13" t="s">
        <v>91</v>
      </c>
      <c r="B18" s="13" t="n">
        <v>2</v>
      </c>
      <c r="C18" s="1"/>
      <c r="D18" s="1"/>
      <c r="E18" s="1"/>
      <c r="F18" s="1"/>
      <c r="G18" s="13"/>
      <c r="H18" s="1"/>
    </row>
    <row r="19" customFormat="false" ht="13.8" hidden="false" customHeight="false" outlineLevel="0" collapsed="false">
      <c r="A19" s="13" t="s">
        <v>92</v>
      </c>
      <c r="B19" s="13" t="n">
        <v>2</v>
      </c>
      <c r="C19" s="1"/>
      <c r="D19" s="1"/>
      <c r="E19" s="1"/>
      <c r="F19" s="1"/>
      <c r="G19" s="13"/>
      <c r="H19" s="1"/>
    </row>
    <row r="20" customFormat="false" ht="13.8" hidden="false" customHeight="false" outlineLevel="0" collapsed="false">
      <c r="A20" s="13" t="s">
        <v>93</v>
      </c>
      <c r="B20" s="13" t="n">
        <v>2</v>
      </c>
      <c r="C20" s="1"/>
      <c r="D20" s="1"/>
      <c r="E20" s="1"/>
      <c r="F20" s="1"/>
      <c r="G20" s="13"/>
      <c r="H20" s="1"/>
    </row>
    <row r="21" customFormat="false" ht="13.8" hidden="false" customHeight="false" outlineLevel="0" collapsed="false">
      <c r="A21" s="13" t="s">
        <v>94</v>
      </c>
      <c r="B21" s="13" t="n">
        <v>2</v>
      </c>
      <c r="C21" s="1"/>
      <c r="D21" s="1"/>
      <c r="E21" s="1"/>
      <c r="F21" s="1"/>
      <c r="G21" s="1"/>
      <c r="H21" s="1"/>
    </row>
    <row r="22" customFormat="false" ht="15" hidden="false" customHeight="false" outlineLevel="0" collapsed="false">
      <c r="I22" s="16" t="s">
        <v>95</v>
      </c>
      <c r="J22" s="16"/>
      <c r="K22" s="16"/>
      <c r="L22" s="16"/>
      <c r="M22" s="16"/>
      <c r="N22" s="16"/>
      <c r="O22" s="16"/>
      <c r="P22" s="16"/>
    </row>
    <row r="23" customFormat="false" ht="13.8" hidden="false" customHeight="false" outlineLevel="0" collapsed="false">
      <c r="I23" s="17"/>
      <c r="J23" s="17"/>
      <c r="K23" s="17"/>
      <c r="L23" s="17"/>
      <c r="M23" s="17"/>
      <c r="N23" s="17"/>
      <c r="O23" s="17"/>
      <c r="P23" s="17"/>
    </row>
    <row r="24" customFormat="false" ht="46.25" hidden="false" customHeight="true" outlineLevel="0" collapsed="false">
      <c r="I24" s="18" t="s">
        <v>96</v>
      </c>
      <c r="J24" s="18"/>
      <c r="K24" s="18"/>
      <c r="L24" s="18"/>
      <c r="M24" s="18"/>
      <c r="N24" s="18"/>
      <c r="O24" s="18"/>
      <c r="P24" s="18"/>
    </row>
    <row r="25" customFormat="false" ht="35.05" hidden="false" customHeight="true" outlineLevel="0" collapsed="false">
      <c r="I25" s="18" t="s">
        <v>97</v>
      </c>
      <c r="J25" s="18"/>
      <c r="K25" s="18"/>
      <c r="L25" s="18"/>
      <c r="M25" s="18"/>
      <c r="N25" s="18"/>
      <c r="O25" s="18"/>
      <c r="P25" s="18"/>
    </row>
  </sheetData>
  <mergeCells count="4">
    <mergeCell ref="I22:P22"/>
    <mergeCell ref="I23:P23"/>
    <mergeCell ref="I24:P24"/>
    <mergeCell ref="I25:P25"/>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O16" activeCellId="0" sqref="O16"/>
    </sheetView>
  </sheetViews>
  <sheetFormatPr defaultColWidth="11.53515625" defaultRowHeight="12.8" zeroHeight="false" outlineLevelRow="0" outlineLevelCol="0"/>
  <sheetData>
    <row r="1" customFormat="false" ht="16.15" hidden="false" customHeight="false" outlineLevel="0" collapsed="false">
      <c r="A1" s="10" t="s">
        <v>98</v>
      </c>
      <c r="B1" s="19"/>
      <c r="C1" s="19"/>
    </row>
    <row r="2" customFormat="false" ht="13.8" hidden="false" customHeight="false" outlineLevel="0" collapsed="false"/>
    <row r="3" customFormat="false" ht="13.8" hidden="false" customHeight="false" outlineLevel="0" collapsed="false">
      <c r="A3" s="20" t="s">
        <v>99</v>
      </c>
      <c r="B3" s="20" t="s">
        <v>100</v>
      </c>
      <c r="C3" s="20" t="s">
        <v>101</v>
      </c>
    </row>
    <row r="4" customFormat="false" ht="26.85" hidden="false" customHeight="false" outlineLevel="0" collapsed="false">
      <c r="A4" s="21" t="s">
        <v>102</v>
      </c>
      <c r="B4" s="21" t="s">
        <v>103</v>
      </c>
      <c r="C4" s="21" t="n">
        <v>30</v>
      </c>
    </row>
    <row r="5" customFormat="false" ht="26.85" hidden="false" customHeight="false" outlineLevel="0" collapsed="false">
      <c r="A5" s="21" t="s">
        <v>104</v>
      </c>
      <c r="B5" s="21" t="s">
        <v>105</v>
      </c>
      <c r="C5" s="21" t="n">
        <v>17</v>
      </c>
    </row>
    <row r="6" customFormat="false" ht="26.85" hidden="false" customHeight="false" outlineLevel="0" collapsed="false">
      <c r="A6" s="21" t="s">
        <v>106</v>
      </c>
      <c r="B6" s="21" t="s">
        <v>107</v>
      </c>
      <c r="C6" s="21" t="n">
        <v>21</v>
      </c>
    </row>
    <row r="7" customFormat="false" ht="26.85" hidden="false" customHeight="false" outlineLevel="0" collapsed="false">
      <c r="A7" s="21" t="s">
        <v>108</v>
      </c>
      <c r="B7" s="21" t="s">
        <v>109</v>
      </c>
      <c r="C7" s="21" t="n">
        <v>21</v>
      </c>
    </row>
    <row r="8" customFormat="false" ht="26.85" hidden="false" customHeight="false" outlineLevel="0" collapsed="false">
      <c r="A8" s="21" t="s">
        <v>110</v>
      </c>
      <c r="B8" s="21" t="s">
        <v>111</v>
      </c>
      <c r="C8" s="21" t="n">
        <v>55</v>
      </c>
    </row>
    <row r="9" customFormat="false" ht="14.15" hidden="false" customHeight="false" outlineLevel="0" collapsed="false">
      <c r="A9" s="13" t="s">
        <v>112</v>
      </c>
      <c r="B9" s="21"/>
      <c r="C9" s="22" t="n">
        <v>144</v>
      </c>
    </row>
    <row r="10" customFormat="false" ht="13.8" hidden="false" customHeight="false" outlineLevel="0" collapsed="false">
      <c r="A10" s="23"/>
      <c r="B10" s="23"/>
      <c r="C10" s="23"/>
    </row>
    <row r="11" customFormat="false" ht="191.75" hidden="false" customHeight="true" outlineLevel="0" collapsed="false">
      <c r="A11" s="24" t="s">
        <v>113</v>
      </c>
      <c r="B11" s="24"/>
      <c r="C11" s="24"/>
      <c r="D11" s="24"/>
      <c r="E11" s="24"/>
      <c r="F11" s="24"/>
    </row>
    <row r="12" customFormat="false" ht="13.8" hidden="false" customHeight="false" outlineLevel="0" collapsed="false"/>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52.2" hidden="false" customHeight="false" outlineLevel="0" collapsed="false">
      <c r="A16" s="25" t="s">
        <v>99</v>
      </c>
      <c r="B16" s="25" t="s">
        <v>114</v>
      </c>
      <c r="C16" s="25" t="s">
        <v>115</v>
      </c>
      <c r="D16" s="26"/>
      <c r="E16" s="20" t="s">
        <v>99</v>
      </c>
      <c r="F16" s="20" t="s">
        <v>100</v>
      </c>
      <c r="G16" s="20" t="s">
        <v>101</v>
      </c>
    </row>
    <row r="17" customFormat="false" ht="26.85" hidden="false" customHeight="false" outlineLevel="0" collapsed="false">
      <c r="A17" s="21" t="s">
        <v>102</v>
      </c>
      <c r="B17" s="21" t="s">
        <v>116</v>
      </c>
      <c r="C17" s="21" t="s">
        <v>117</v>
      </c>
      <c r="E17" s="21" t="s">
        <v>102</v>
      </c>
      <c r="F17" s="21" t="s">
        <v>118</v>
      </c>
      <c r="G17" s="21" t="n">
        <v>3</v>
      </c>
    </row>
    <row r="18" customFormat="false" ht="26.85" hidden="false" customHeight="false" outlineLevel="0" collapsed="false">
      <c r="A18" s="21" t="s">
        <v>104</v>
      </c>
      <c r="B18" s="21" t="s">
        <v>119</v>
      </c>
      <c r="C18" s="21" t="s">
        <v>120</v>
      </c>
      <c r="E18" s="21" t="s">
        <v>104</v>
      </c>
      <c r="F18" s="21" t="s">
        <v>121</v>
      </c>
      <c r="G18" s="21" t="n">
        <v>3</v>
      </c>
    </row>
    <row r="19" customFormat="false" ht="26.85" hidden="false" customHeight="false" outlineLevel="0" collapsed="false">
      <c r="A19" s="21" t="s">
        <v>106</v>
      </c>
      <c r="B19" s="21" t="s">
        <v>116</v>
      </c>
      <c r="C19" s="21" t="s">
        <v>122</v>
      </c>
      <c r="E19" s="21" t="s">
        <v>106</v>
      </c>
      <c r="F19" s="21" t="s">
        <v>123</v>
      </c>
      <c r="G19" s="21" t="n">
        <v>0</v>
      </c>
    </row>
    <row r="20" customFormat="false" ht="26.85" hidden="false" customHeight="false" outlineLevel="0" collapsed="false">
      <c r="A20" s="21" t="s">
        <v>108</v>
      </c>
      <c r="B20" s="21" t="s">
        <v>124</v>
      </c>
      <c r="C20" s="21" t="s">
        <v>122</v>
      </c>
      <c r="E20" s="21" t="s">
        <v>108</v>
      </c>
      <c r="F20" s="21" t="s">
        <v>125</v>
      </c>
      <c r="G20" s="21" t="n">
        <v>0</v>
      </c>
    </row>
    <row r="21" customFormat="false" ht="26.85" hidden="false" customHeight="false" outlineLevel="0" collapsed="false">
      <c r="A21" s="21" t="s">
        <v>110</v>
      </c>
      <c r="B21" s="21" t="s">
        <v>126</v>
      </c>
      <c r="C21" s="21" t="s">
        <v>122</v>
      </c>
      <c r="E21" s="21" t="s">
        <v>110</v>
      </c>
      <c r="F21" s="21" t="s">
        <v>127</v>
      </c>
      <c r="G21" s="21" t="n">
        <v>0</v>
      </c>
    </row>
    <row r="22" customFormat="false" ht="14.15" hidden="false" customHeight="false" outlineLevel="0" collapsed="false">
      <c r="A22" s="13"/>
      <c r="B22" s="21"/>
      <c r="C22" s="22"/>
      <c r="E22" s="13" t="s">
        <v>112</v>
      </c>
      <c r="F22" s="21"/>
      <c r="G22" s="22" t="n">
        <v>6</v>
      </c>
    </row>
  </sheetData>
  <mergeCells count="1">
    <mergeCell ref="A11:F1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22" activeCellId="0" sqref="N22"/>
    </sheetView>
  </sheetViews>
  <sheetFormatPr defaultColWidth="11.53515625" defaultRowHeight="12.8" zeroHeight="false" outlineLevelRow="0" outlineLevelCol="0"/>
  <sheetData>
    <row r="1" customFormat="false" ht="16.15" hidden="false" customHeight="false" outlineLevel="0" collapsed="false">
      <c r="A1" s="27" t="s">
        <v>128</v>
      </c>
      <c r="B1" s="27"/>
      <c r="C1" s="27"/>
      <c r="D1" s="27"/>
      <c r="E1" s="27"/>
      <c r="F1" s="27"/>
    </row>
    <row r="2" customFormat="false" ht="13.8" hidden="false" customHeight="false" outlineLevel="0" collapsed="false"/>
    <row r="3" customFormat="false" ht="13.8" hidden="false" customHeight="false" outlineLevel="0" collapsed="false"/>
    <row r="4" customFormat="false" ht="13.8" hidden="false" customHeight="false" outlineLevel="0" collapsed="false"/>
    <row r="5" customFormat="false" ht="13.8" hidden="false" customHeight="false" outlineLevel="0" collapsed="false"/>
    <row r="6" customFormat="false" ht="13.8" hidden="false" customHeight="false" outlineLevel="0" collapsed="false"/>
    <row r="7" customFormat="false" ht="13.8" hidden="false" customHeight="false" outlineLevel="0" collapsed="false">
      <c r="A7" s="28" t="s">
        <v>100</v>
      </c>
      <c r="B7" s="28"/>
      <c r="C7" s="28"/>
      <c r="D7" s="28"/>
      <c r="E7" s="28"/>
      <c r="F7" s="28"/>
      <c r="G7" s="28"/>
      <c r="H7" s="28"/>
    </row>
    <row r="8" customFormat="false" ht="13.8" hidden="false" customHeight="false" outlineLevel="0" collapsed="false"/>
    <row r="9" customFormat="false" ht="13.8" hidden="false" customHeight="false" outlineLevel="0" collapsed="false">
      <c r="A9" s="29" t="s">
        <v>129</v>
      </c>
      <c r="B9" s="29"/>
      <c r="C9" s="29"/>
      <c r="D9" s="29"/>
      <c r="F9" s="30" t="s">
        <v>130</v>
      </c>
      <c r="J9" s="30" t="n">
        <v>390.08</v>
      </c>
      <c r="L9" s="29" t="s">
        <v>129</v>
      </c>
      <c r="M9" s="29"/>
      <c r="N9" s="29"/>
      <c r="O9" s="29"/>
    </row>
    <row r="10" customFormat="false" ht="13.8" hidden="false" customHeight="false" outlineLevel="0" collapsed="false">
      <c r="F10" s="30" t="s">
        <v>131</v>
      </c>
      <c r="J10" s="30" t="n">
        <v>4</v>
      </c>
    </row>
    <row r="11" customFormat="false" ht="13.8" hidden="false" customHeight="false" outlineLevel="0" collapsed="false">
      <c r="F11" s="30" t="s">
        <v>132</v>
      </c>
      <c r="J11" s="30" t="n">
        <v>12</v>
      </c>
    </row>
    <row r="12" customFormat="false" ht="13.8" hidden="false" customHeight="false" outlineLevel="0" collapsed="false">
      <c r="F12" s="30" t="s">
        <v>133</v>
      </c>
      <c r="J12" s="30" t="n">
        <v>0</v>
      </c>
    </row>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13.8" hidden="false" customHeight="false" outlineLevel="0" collapsed="false">
      <c r="A16" s="29" t="s">
        <v>134</v>
      </c>
      <c r="B16" s="29"/>
      <c r="C16" s="29"/>
      <c r="D16" s="29"/>
      <c r="E16" s="29"/>
      <c r="F16" s="29"/>
      <c r="L16" s="29" t="s">
        <v>134</v>
      </c>
      <c r="M16" s="29"/>
      <c r="N16" s="29"/>
      <c r="O16" s="29"/>
      <c r="P16" s="29"/>
      <c r="Q16" s="29"/>
    </row>
    <row r="17" customFormat="false" ht="13.8" hidden="false" customHeight="false" outlineLevel="0" collapsed="false"/>
    <row r="18" customFormat="false" ht="13.8" hidden="false" customHeight="false" outlineLevel="0" collapsed="false"/>
    <row r="20" customFormat="false" ht="13.8" hidden="false" customHeight="false" outlineLevel="0" collapsed="false">
      <c r="A20" s="31" t="s">
        <v>135</v>
      </c>
      <c r="B20" s="31"/>
      <c r="C20" s="31"/>
      <c r="D20" s="31"/>
      <c r="E20" s="31"/>
      <c r="F20" s="31"/>
      <c r="G20" s="31"/>
      <c r="H20" s="31"/>
    </row>
    <row r="21" customFormat="false" ht="13.8" hidden="false" customHeight="false" outlineLevel="0" collapsed="false"/>
    <row r="22" customFormat="false" ht="13.8" hidden="false" customHeight="false" outlineLevel="0" collapsed="false"/>
    <row r="23" customFormat="false" ht="13.8" hidden="false" customHeight="false" outlineLevel="0" collapsed="false">
      <c r="A23" s="29" t="s">
        <v>129</v>
      </c>
      <c r="B23" s="29"/>
      <c r="C23" s="29"/>
      <c r="D23" s="29"/>
      <c r="F23" s="30" t="s">
        <v>130</v>
      </c>
      <c r="J23" s="30" t="n">
        <v>390.08</v>
      </c>
    </row>
    <row r="24" customFormat="false" ht="13.8" hidden="false" customHeight="false" outlineLevel="0" collapsed="false">
      <c r="F24" s="30" t="s">
        <v>131</v>
      </c>
      <c r="J24" s="30" t="n">
        <v>4</v>
      </c>
    </row>
    <row r="25" customFormat="false" ht="13.8" hidden="false" customHeight="false" outlineLevel="0" collapsed="false">
      <c r="F25" s="30" t="s">
        <v>132</v>
      </c>
      <c r="J25" s="30" t="n">
        <v>12</v>
      </c>
    </row>
    <row r="26" customFormat="false" ht="13.8" hidden="false" customHeight="false" outlineLevel="0" collapsed="false">
      <c r="F26" s="30" t="s">
        <v>133</v>
      </c>
      <c r="J26" s="30" t="s">
        <v>136</v>
      </c>
    </row>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c r="A30" s="29" t="s">
        <v>137</v>
      </c>
      <c r="B30" s="29"/>
      <c r="C30" s="29"/>
      <c r="D30" s="29"/>
      <c r="E30" s="29"/>
      <c r="F30" s="29"/>
      <c r="G30" s="29"/>
      <c r="H30" s="29"/>
      <c r="I30" s="30" t="s">
        <v>138</v>
      </c>
    </row>
    <row r="31" customFormat="false" ht="13.8" hidden="false" customHeight="false" outlineLevel="0" collapsed="false"/>
    <row r="32" customFormat="false" ht="13.8" hidden="false" customHeight="false" outlineLevel="0" collapsed="false"/>
    <row r="33" customFormat="false" ht="14.9" hidden="false" customHeight="true" outlineLevel="0" collapsed="false">
      <c r="A33" s="32" t="s">
        <v>139</v>
      </c>
      <c r="B33" s="32"/>
      <c r="C33" s="32"/>
      <c r="D33" s="32"/>
      <c r="E33" s="32"/>
    </row>
    <row r="34" customFormat="false" ht="13.8" hidden="false" customHeight="false" outlineLevel="0" collapsed="false"/>
  </sheetData>
  <mergeCells count="10">
    <mergeCell ref="A1:F1"/>
    <mergeCell ref="A7:H7"/>
    <mergeCell ref="A9:D9"/>
    <mergeCell ref="L9:O9"/>
    <mergeCell ref="A16:F16"/>
    <mergeCell ref="L16:Q16"/>
    <mergeCell ref="A20:H20"/>
    <mergeCell ref="A23:D23"/>
    <mergeCell ref="A30:H30"/>
    <mergeCell ref="A33:E3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2026-10-01T08:45:44Z</dcterms:created>
  <dc:creator>openpyxl</dc:creator>
  <dc:description/>
  <dc:language>en-US</dc:language>
  <cp:lastModifiedBy/>
  <dcterms:modified xsi:type="dcterms:W3CDTF">2026-10-16T09:12:27Z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